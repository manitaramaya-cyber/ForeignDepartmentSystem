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สมุดงานนี้"/>
  <mc:AlternateContent xmlns:mc="http://schemas.openxmlformats.org/markup-compatibility/2006">
    <mc:Choice Requires="x15">
      <x15ac:absPath xmlns:x15ac="http://schemas.microsoft.com/office/spreadsheetml/2010/11/ac" url="D:\งานครูต่างชาติ\0_RV_ForeignDepartmentSystem\"/>
    </mc:Choice>
  </mc:AlternateContent>
  <xr:revisionPtr revIDLastSave="0" documentId="8_{5C8BA13D-5A33-44B6-AC14-F239E6E215AD}" xr6:coauthVersionLast="47" xr6:coauthVersionMax="47" xr10:uidLastSave="{00000000-0000-0000-0000-000000000000}"/>
  <bookViews>
    <workbookView xWindow="-108" yWindow="-108" windowWidth="23256" windowHeight="12456" tabRatio="776" activeTab="4" xr2:uid="{00000000-000D-0000-FFFF-FFFF00000000}"/>
  </bookViews>
  <sheets>
    <sheet name="INFO" sheetId="131" r:id="rId1"/>
    <sheet name="Mathematics" sheetId="132" r:id="rId2"/>
    <sheet name="Science" sheetId="133" r:id="rId3"/>
    <sheet name="English" sheetId="134" r:id="rId4"/>
    <sheet name="Arts" sheetId="135" r:id="rId5"/>
  </sheets>
  <definedNames>
    <definedName name="_xlnm.Print_Area" localSheetId="4">Arts!$A$1:$V$55</definedName>
    <definedName name="_xlnm.Print_Area" localSheetId="3">English!$A$1:$V$55</definedName>
    <definedName name="_xlnm.Print_Area" localSheetId="1">Mathematics!$A$1:$V$55</definedName>
    <definedName name="_xlnm.Print_Area" localSheetId="2">Science!$A$1:$V$55</definedName>
    <definedName name="_xlnm.Print_Titles" localSheetId="4">Arts!$1:$9</definedName>
    <definedName name="_xlnm.Print_Titles" localSheetId="3">English!$1:$9</definedName>
    <definedName name="_xlnm.Print_Titles" localSheetId="1">Mathematics!$1:$9</definedName>
    <definedName name="_xlnm.Print_Titles" localSheetId="2">Science!$1:$9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" i="132" l="1"/>
  <c r="Q11" i="132"/>
  <c r="Q12" i="132"/>
  <c r="Q13" i="132"/>
  <c r="Q14" i="132"/>
  <c r="Q15" i="132"/>
  <c r="Q16" i="132"/>
  <c r="Q17" i="132"/>
  <c r="Q18" i="132"/>
  <c r="Q19" i="132"/>
  <c r="Q20" i="132"/>
  <c r="Q21" i="132"/>
  <c r="Q22" i="132"/>
  <c r="Q23" i="132"/>
  <c r="Q24" i="132"/>
  <c r="Q25" i="132"/>
  <c r="Q26" i="132"/>
  <c r="Q27" i="132"/>
  <c r="Q28" i="132"/>
  <c r="Q29" i="132"/>
  <c r="Q30" i="132"/>
  <c r="Q31" i="132"/>
  <c r="Q32" i="132"/>
  <c r="Q33" i="132"/>
  <c r="Q34" i="132"/>
  <c r="Q35" i="132"/>
  <c r="Q36" i="132"/>
  <c r="Q37" i="132"/>
  <c r="Q38" i="132"/>
  <c r="Q38" i="135" l="1"/>
  <c r="Q10" i="135"/>
  <c r="Q11" i="135"/>
  <c r="Q12" i="135"/>
  <c r="Q13" i="135"/>
  <c r="Q14" i="135"/>
  <c r="Q15" i="135"/>
  <c r="Q16" i="135"/>
  <c r="Q17" i="135"/>
  <c r="Q18" i="135"/>
  <c r="Q19" i="135"/>
  <c r="Q20" i="135"/>
  <c r="Q21" i="135"/>
  <c r="Q22" i="135"/>
  <c r="Q23" i="135"/>
  <c r="Q24" i="135"/>
  <c r="Q25" i="135"/>
  <c r="Q26" i="135"/>
  <c r="Q27" i="135"/>
  <c r="Q28" i="135"/>
  <c r="Q29" i="135"/>
  <c r="Q30" i="135"/>
  <c r="Q31" i="135"/>
  <c r="Q32" i="135"/>
  <c r="Q33" i="135"/>
  <c r="Q34" i="135"/>
  <c r="Q35" i="135"/>
  <c r="Q36" i="135"/>
  <c r="Q37" i="135"/>
  <c r="Q10" i="133"/>
  <c r="T10" i="133" s="1"/>
  <c r="Q11" i="133"/>
  <c r="T11" i="133" s="1"/>
  <c r="Q12" i="133"/>
  <c r="T12" i="133" s="1"/>
  <c r="Q13" i="133"/>
  <c r="T13" i="133" s="1"/>
  <c r="Q14" i="133"/>
  <c r="T14" i="133" s="1"/>
  <c r="Q15" i="133"/>
  <c r="T15" i="133" s="1"/>
  <c r="Q16" i="133"/>
  <c r="T16" i="133" s="1"/>
  <c r="Q17" i="133"/>
  <c r="T17" i="133" s="1"/>
  <c r="Q18" i="133"/>
  <c r="T18" i="133" s="1"/>
  <c r="Q19" i="133"/>
  <c r="T19" i="133" s="1"/>
  <c r="Q20" i="133"/>
  <c r="T20" i="133" s="1"/>
  <c r="Q21" i="133"/>
  <c r="T21" i="133" s="1"/>
  <c r="Q22" i="133"/>
  <c r="T22" i="133" s="1"/>
  <c r="Q23" i="133"/>
  <c r="T23" i="133" s="1"/>
  <c r="Q24" i="133"/>
  <c r="T24" i="133" s="1"/>
  <c r="Q25" i="133"/>
  <c r="T25" i="133" s="1"/>
  <c r="Q26" i="133"/>
  <c r="T26" i="133" s="1"/>
  <c r="Q27" i="133"/>
  <c r="T27" i="133" s="1"/>
  <c r="Q28" i="133"/>
  <c r="T28" i="133" s="1"/>
  <c r="Q29" i="133"/>
  <c r="T29" i="133" s="1"/>
  <c r="Q30" i="133"/>
  <c r="T30" i="133" s="1"/>
  <c r="Q31" i="133"/>
  <c r="T31" i="133" s="1"/>
  <c r="Q32" i="133"/>
  <c r="T32" i="133" s="1"/>
  <c r="Q33" i="133"/>
  <c r="T33" i="133" s="1"/>
  <c r="Q34" i="133"/>
  <c r="T34" i="133" s="1"/>
  <c r="Q35" i="133"/>
  <c r="T35" i="133" s="1"/>
  <c r="Q36" i="133"/>
  <c r="T36" i="133" s="1"/>
  <c r="Q37" i="133"/>
  <c r="T37" i="133" s="1"/>
  <c r="Q38" i="133"/>
  <c r="T38" i="133" s="1"/>
  <c r="Q10" i="134" l="1"/>
  <c r="Q11" i="134"/>
  <c r="Q12" i="134"/>
  <c r="Q13" i="134"/>
  <c r="Q14" i="134"/>
  <c r="Q15" i="134"/>
  <c r="Q16" i="134"/>
  <c r="Q17" i="134"/>
  <c r="Q18" i="134"/>
  <c r="Q19" i="134"/>
  <c r="Q20" i="134"/>
  <c r="Q21" i="134"/>
  <c r="Q22" i="134"/>
  <c r="Q23" i="134"/>
  <c r="Q24" i="134"/>
  <c r="Q25" i="134"/>
  <c r="Q26" i="134"/>
  <c r="Q27" i="134"/>
  <c r="Q28" i="134"/>
  <c r="Q29" i="134"/>
  <c r="Q30" i="134"/>
  <c r="Q31" i="134"/>
  <c r="Q32" i="134"/>
  <c r="Q33" i="134"/>
  <c r="Q34" i="134"/>
  <c r="Q35" i="134"/>
  <c r="Q36" i="134"/>
  <c r="Q37" i="134"/>
  <c r="Q38" i="134"/>
  <c r="I38" i="135" l="1"/>
  <c r="L38" i="135" s="1"/>
  <c r="I38" i="134"/>
  <c r="L38" i="134" s="1"/>
  <c r="I35" i="133" l="1"/>
  <c r="L35" i="133" s="1"/>
  <c r="U35" i="133" s="1"/>
  <c r="V34" i="133" s="1"/>
  <c r="I36" i="133"/>
  <c r="L36" i="133" s="1"/>
  <c r="U36" i="133" s="1"/>
  <c r="V35" i="133" s="1"/>
  <c r="I37" i="133"/>
  <c r="L37" i="133" s="1"/>
  <c r="U37" i="133" s="1"/>
  <c r="V36" i="133" s="1"/>
  <c r="I38" i="133"/>
  <c r="L38" i="133" s="1"/>
  <c r="U38" i="133" s="1"/>
  <c r="V38" i="133" l="1"/>
  <c r="V37" i="133"/>
  <c r="I38" i="132"/>
  <c r="L38" i="132" s="1"/>
  <c r="I36" i="132"/>
  <c r="L36" i="132" s="1"/>
  <c r="I37" i="132"/>
  <c r="L37" i="132" s="1"/>
  <c r="I10" i="133" l="1"/>
  <c r="L10" i="133" s="1"/>
  <c r="U10" i="133" s="1"/>
  <c r="I11" i="133"/>
  <c r="L11" i="133" s="1"/>
  <c r="U11" i="133" s="1"/>
  <c r="I12" i="133"/>
  <c r="L12" i="133" s="1"/>
  <c r="U12" i="133" s="1"/>
  <c r="I13" i="133"/>
  <c r="L13" i="133" s="1"/>
  <c r="U13" i="133" s="1"/>
  <c r="I14" i="133"/>
  <c r="L14" i="133" s="1"/>
  <c r="U14" i="133" s="1"/>
  <c r="I15" i="133"/>
  <c r="L15" i="133" s="1"/>
  <c r="U15" i="133" s="1"/>
  <c r="I16" i="133"/>
  <c r="L16" i="133" s="1"/>
  <c r="U16" i="133" s="1"/>
  <c r="I17" i="133"/>
  <c r="L17" i="133" s="1"/>
  <c r="U17" i="133" s="1"/>
  <c r="I18" i="133"/>
  <c r="L18" i="133" s="1"/>
  <c r="U18" i="133" s="1"/>
  <c r="I19" i="133"/>
  <c r="L19" i="133" s="1"/>
  <c r="U19" i="133" s="1"/>
  <c r="I20" i="133"/>
  <c r="L20" i="133" s="1"/>
  <c r="U20" i="133" s="1"/>
  <c r="I21" i="133"/>
  <c r="L21" i="133" s="1"/>
  <c r="U21" i="133" s="1"/>
  <c r="I22" i="133"/>
  <c r="L22" i="133" s="1"/>
  <c r="U22" i="133" s="1"/>
  <c r="I23" i="133"/>
  <c r="L23" i="133" s="1"/>
  <c r="U23" i="133" s="1"/>
  <c r="I24" i="133"/>
  <c r="L24" i="133" s="1"/>
  <c r="U24" i="133" s="1"/>
  <c r="I25" i="133"/>
  <c r="L25" i="133" s="1"/>
  <c r="U25" i="133" s="1"/>
  <c r="I26" i="133"/>
  <c r="L26" i="133" s="1"/>
  <c r="U26" i="133" s="1"/>
  <c r="I27" i="133"/>
  <c r="L27" i="133" s="1"/>
  <c r="U27" i="133" s="1"/>
  <c r="I28" i="133"/>
  <c r="L28" i="133" s="1"/>
  <c r="U28" i="133" s="1"/>
  <c r="I29" i="133"/>
  <c r="L29" i="133" s="1"/>
  <c r="U29" i="133" s="1"/>
  <c r="I30" i="133"/>
  <c r="L30" i="133" s="1"/>
  <c r="U30" i="133" s="1"/>
  <c r="I31" i="133"/>
  <c r="L31" i="133" s="1"/>
  <c r="U31" i="133" s="1"/>
  <c r="I32" i="133"/>
  <c r="L32" i="133" s="1"/>
  <c r="U32" i="133" s="1"/>
  <c r="I33" i="133"/>
  <c r="L33" i="133" s="1"/>
  <c r="U33" i="133" s="1"/>
  <c r="I34" i="133"/>
  <c r="L34" i="133" s="1"/>
  <c r="U34" i="133" s="1"/>
  <c r="V33" i="133" s="1"/>
  <c r="I10" i="132" l="1"/>
  <c r="L10" i="132" s="1"/>
  <c r="I11" i="132"/>
  <c r="L11" i="132" s="1"/>
  <c r="I12" i="132"/>
  <c r="L12" i="132" s="1"/>
  <c r="I13" i="132"/>
  <c r="L13" i="132" s="1"/>
  <c r="I14" i="132"/>
  <c r="L14" i="132" s="1"/>
  <c r="I15" i="132"/>
  <c r="L15" i="132" s="1"/>
  <c r="I16" i="132"/>
  <c r="L16" i="132" s="1"/>
  <c r="I17" i="132"/>
  <c r="L17" i="132" s="1"/>
  <c r="I18" i="132"/>
  <c r="L18" i="132" s="1"/>
  <c r="I19" i="132"/>
  <c r="L19" i="132" s="1"/>
  <c r="I20" i="132"/>
  <c r="L20" i="132" s="1"/>
  <c r="I21" i="132"/>
  <c r="L21" i="132" s="1"/>
  <c r="I22" i="132"/>
  <c r="L22" i="132" s="1"/>
  <c r="I23" i="132"/>
  <c r="L23" i="132" s="1"/>
  <c r="I24" i="132"/>
  <c r="L24" i="132" s="1"/>
  <c r="I25" i="132"/>
  <c r="L25" i="132" s="1"/>
  <c r="I26" i="132"/>
  <c r="L26" i="132" s="1"/>
  <c r="I27" i="132"/>
  <c r="L27" i="132" s="1"/>
  <c r="I28" i="132"/>
  <c r="L28" i="132" s="1"/>
  <c r="I29" i="132"/>
  <c r="L29" i="132" s="1"/>
  <c r="I30" i="132"/>
  <c r="L30" i="132" s="1"/>
  <c r="I31" i="132"/>
  <c r="L31" i="132" s="1"/>
  <c r="I32" i="132"/>
  <c r="L32" i="132" s="1"/>
  <c r="I33" i="132"/>
  <c r="L33" i="132" s="1"/>
  <c r="I34" i="132"/>
  <c r="L34" i="132" s="1"/>
  <c r="I35" i="132"/>
  <c r="L35" i="132" s="1"/>
  <c r="I10" i="135" l="1"/>
  <c r="L10" i="135" s="1"/>
  <c r="I11" i="135"/>
  <c r="L11" i="135" s="1"/>
  <c r="I12" i="135"/>
  <c r="L12" i="135" s="1"/>
  <c r="I13" i="135"/>
  <c r="L13" i="135" s="1"/>
  <c r="I14" i="135"/>
  <c r="L14" i="135" s="1"/>
  <c r="I15" i="135"/>
  <c r="L15" i="135" s="1"/>
  <c r="I16" i="135"/>
  <c r="L16" i="135" s="1"/>
  <c r="I17" i="135"/>
  <c r="L17" i="135" s="1"/>
  <c r="I18" i="135"/>
  <c r="L18" i="135" s="1"/>
  <c r="I19" i="135"/>
  <c r="L19" i="135" s="1"/>
  <c r="I20" i="135"/>
  <c r="L20" i="135" s="1"/>
  <c r="I21" i="135"/>
  <c r="L21" i="135" s="1"/>
  <c r="I22" i="135"/>
  <c r="L22" i="135" s="1"/>
  <c r="I23" i="135"/>
  <c r="L23" i="135" s="1"/>
  <c r="I24" i="135"/>
  <c r="L24" i="135" s="1"/>
  <c r="I25" i="135"/>
  <c r="L25" i="135" s="1"/>
  <c r="I26" i="135"/>
  <c r="L26" i="135" s="1"/>
  <c r="I27" i="135"/>
  <c r="L27" i="135" s="1"/>
  <c r="I28" i="135"/>
  <c r="L28" i="135" s="1"/>
  <c r="I29" i="135"/>
  <c r="L29" i="135" s="1"/>
  <c r="I30" i="135"/>
  <c r="L30" i="135" s="1"/>
  <c r="I31" i="135"/>
  <c r="L31" i="135" s="1"/>
  <c r="I32" i="135"/>
  <c r="L32" i="135" s="1"/>
  <c r="I33" i="135"/>
  <c r="L33" i="135" s="1"/>
  <c r="I34" i="135"/>
  <c r="L34" i="135" s="1"/>
  <c r="I35" i="135"/>
  <c r="L35" i="135" s="1"/>
  <c r="I36" i="135"/>
  <c r="L36" i="135" s="1"/>
  <c r="I37" i="135"/>
  <c r="L37" i="135" s="1"/>
  <c r="I37" i="134"/>
  <c r="L37" i="134" s="1"/>
  <c r="I10" i="134"/>
  <c r="L10" i="134" s="1"/>
  <c r="I11" i="134"/>
  <c r="L11" i="134" s="1"/>
  <c r="I12" i="134"/>
  <c r="L12" i="134" s="1"/>
  <c r="I13" i="134"/>
  <c r="L13" i="134" s="1"/>
  <c r="I14" i="134"/>
  <c r="L14" i="134" s="1"/>
  <c r="I15" i="134"/>
  <c r="L15" i="134" s="1"/>
  <c r="I16" i="134"/>
  <c r="L16" i="134" s="1"/>
  <c r="I17" i="134"/>
  <c r="L17" i="134" s="1"/>
  <c r="I18" i="134"/>
  <c r="L18" i="134" s="1"/>
  <c r="I19" i="134"/>
  <c r="L19" i="134" s="1"/>
  <c r="I20" i="134"/>
  <c r="L20" i="134" s="1"/>
  <c r="I21" i="134"/>
  <c r="L21" i="134" s="1"/>
  <c r="I22" i="134"/>
  <c r="L22" i="134" s="1"/>
  <c r="I23" i="134"/>
  <c r="L23" i="134" s="1"/>
  <c r="I24" i="134"/>
  <c r="L24" i="134" s="1"/>
  <c r="I25" i="134"/>
  <c r="L25" i="134" s="1"/>
  <c r="I26" i="134"/>
  <c r="L26" i="134" s="1"/>
  <c r="I27" i="134"/>
  <c r="L27" i="134" s="1"/>
  <c r="I28" i="134"/>
  <c r="L28" i="134" s="1"/>
  <c r="I29" i="134"/>
  <c r="L29" i="134" s="1"/>
  <c r="I30" i="134"/>
  <c r="L30" i="134" s="1"/>
  <c r="I31" i="134"/>
  <c r="L31" i="134" s="1"/>
  <c r="I32" i="134"/>
  <c r="L32" i="134" s="1"/>
  <c r="I33" i="134"/>
  <c r="L33" i="134" s="1"/>
  <c r="I34" i="134"/>
  <c r="L34" i="134" s="1"/>
  <c r="I35" i="134"/>
  <c r="L35" i="134" s="1"/>
  <c r="I36" i="134"/>
  <c r="L36" i="134" s="1"/>
  <c r="D2" i="134" l="1"/>
  <c r="V11" i="135" l="1"/>
  <c r="V12" i="135"/>
  <c r="V13" i="135"/>
  <c r="V14" i="135"/>
  <c r="V15" i="135"/>
  <c r="V16" i="135"/>
  <c r="V17" i="135"/>
  <c r="V18" i="135"/>
  <c r="V19" i="135"/>
  <c r="V20" i="135"/>
  <c r="V21" i="135"/>
  <c r="V22" i="135"/>
  <c r="V23" i="135"/>
  <c r="V24" i="135"/>
  <c r="V25" i="135"/>
  <c r="V26" i="135"/>
  <c r="V27" i="135"/>
  <c r="V28" i="135"/>
  <c r="V29" i="135"/>
  <c r="V30" i="135"/>
  <c r="V31" i="135"/>
  <c r="V32" i="135"/>
  <c r="V33" i="135"/>
  <c r="V34" i="135"/>
  <c r="V35" i="135"/>
  <c r="V36" i="135"/>
  <c r="V37" i="135"/>
  <c r="V38" i="135"/>
  <c r="V39" i="135"/>
  <c r="V40" i="135"/>
  <c r="V41" i="135"/>
  <c r="V42" i="135"/>
  <c r="V43" i="135"/>
  <c r="V44" i="135"/>
  <c r="V45" i="135"/>
  <c r="V46" i="135"/>
  <c r="V47" i="135"/>
  <c r="V48" i="135"/>
  <c r="V49" i="135"/>
  <c r="V50" i="135"/>
  <c r="V51" i="135"/>
  <c r="V52" i="135"/>
  <c r="V53" i="135"/>
  <c r="V54" i="135"/>
  <c r="V55" i="135"/>
  <c r="V10" i="135"/>
  <c r="V11" i="134"/>
  <c r="V12" i="134"/>
  <c r="V13" i="134"/>
  <c r="V14" i="134"/>
  <c r="V15" i="134"/>
  <c r="V16" i="134"/>
  <c r="V17" i="134"/>
  <c r="V18" i="134"/>
  <c r="V19" i="134"/>
  <c r="V20" i="134"/>
  <c r="V21" i="134"/>
  <c r="V22" i="134"/>
  <c r="V23" i="134"/>
  <c r="V24" i="134"/>
  <c r="V25" i="134"/>
  <c r="V26" i="134"/>
  <c r="V27" i="134"/>
  <c r="V28" i="134"/>
  <c r="V29" i="134"/>
  <c r="V30" i="134"/>
  <c r="V31" i="134"/>
  <c r="V32" i="134"/>
  <c r="V33" i="134"/>
  <c r="V34" i="134"/>
  <c r="V35" i="134"/>
  <c r="V36" i="134"/>
  <c r="V37" i="134"/>
  <c r="V38" i="134"/>
  <c r="V39" i="134"/>
  <c r="V40" i="134"/>
  <c r="V41" i="134"/>
  <c r="V42" i="134"/>
  <c r="V43" i="134"/>
  <c r="V44" i="134"/>
  <c r="V45" i="134"/>
  <c r="V46" i="134"/>
  <c r="V47" i="134"/>
  <c r="V48" i="134"/>
  <c r="V49" i="134"/>
  <c r="V50" i="134"/>
  <c r="V51" i="134"/>
  <c r="V52" i="134"/>
  <c r="V53" i="134"/>
  <c r="V54" i="134"/>
  <c r="V55" i="134"/>
  <c r="V10" i="134"/>
  <c r="V11" i="133"/>
  <c r="V12" i="133"/>
  <c r="V13" i="133"/>
  <c r="V14" i="133"/>
  <c r="V15" i="133"/>
  <c r="V16" i="133"/>
  <c r="V17" i="133"/>
  <c r="V18" i="133"/>
  <c r="V19" i="133"/>
  <c r="V20" i="133"/>
  <c r="V21" i="133"/>
  <c r="V22" i="133"/>
  <c r="V23" i="133"/>
  <c r="V24" i="133"/>
  <c r="V25" i="133"/>
  <c r="V26" i="133"/>
  <c r="V27" i="133"/>
  <c r="V28" i="133"/>
  <c r="V29" i="133"/>
  <c r="V30" i="133"/>
  <c r="V31" i="133"/>
  <c r="V32" i="133"/>
  <c r="V39" i="133"/>
  <c r="V40" i="133"/>
  <c r="V41" i="133"/>
  <c r="V42" i="133"/>
  <c r="V43" i="133"/>
  <c r="V44" i="133"/>
  <c r="V45" i="133"/>
  <c r="V46" i="133"/>
  <c r="V47" i="133"/>
  <c r="V48" i="133"/>
  <c r="V49" i="133"/>
  <c r="V50" i="133"/>
  <c r="V51" i="133"/>
  <c r="V52" i="133"/>
  <c r="V53" i="133"/>
  <c r="V54" i="133"/>
  <c r="V55" i="133"/>
  <c r="V10" i="133"/>
  <c r="V11" i="132"/>
  <c r="V12" i="132"/>
  <c r="V13" i="132"/>
  <c r="V14" i="132"/>
  <c r="V15" i="132"/>
  <c r="V16" i="132"/>
  <c r="V17" i="132"/>
  <c r="V18" i="132"/>
  <c r="V19" i="132"/>
  <c r="V20" i="132"/>
  <c r="V21" i="132"/>
  <c r="V22" i="132"/>
  <c r="V23" i="132"/>
  <c r="V24" i="132"/>
  <c r="V25" i="132"/>
  <c r="V26" i="132"/>
  <c r="V27" i="132"/>
  <c r="V28" i="132"/>
  <c r="V29" i="132"/>
  <c r="V30" i="132"/>
  <c r="V31" i="132"/>
  <c r="V32" i="132"/>
  <c r="V33" i="132"/>
  <c r="V34" i="132"/>
  <c r="V35" i="132"/>
  <c r="V36" i="132"/>
  <c r="V37" i="132"/>
  <c r="V38" i="132"/>
  <c r="V39" i="132"/>
  <c r="V40" i="132"/>
  <c r="V41" i="132"/>
  <c r="V42" i="132"/>
  <c r="V43" i="132"/>
  <c r="V44" i="132"/>
  <c r="V45" i="132"/>
  <c r="V46" i="132"/>
  <c r="V47" i="132"/>
  <c r="V48" i="132"/>
  <c r="V49" i="132"/>
  <c r="V50" i="132"/>
  <c r="V51" i="132"/>
  <c r="V52" i="132"/>
  <c r="V53" i="132"/>
  <c r="V54" i="132"/>
  <c r="V55" i="132"/>
  <c r="V10" i="132"/>
  <c r="F1" i="135" l="1"/>
  <c r="F1" i="134"/>
  <c r="F1" i="133"/>
  <c r="F1" i="132"/>
  <c r="L1" i="132"/>
  <c r="Q9" i="132" l="1"/>
  <c r="T9" i="132" s="1"/>
  <c r="Q9" i="133" l="1"/>
  <c r="T9" i="133" s="1"/>
  <c r="Q9" i="135" l="1"/>
  <c r="T9" i="135" s="1"/>
  <c r="Q9" i="134"/>
  <c r="T9" i="134" s="1"/>
  <c r="I9" i="133" l="1"/>
  <c r="L9" i="133" s="1"/>
  <c r="U9" i="133" s="1"/>
  <c r="I9" i="134" l="1"/>
  <c r="L9" i="134" s="1"/>
  <c r="U9" i="134" s="1"/>
  <c r="I9" i="135" l="1"/>
  <c r="L9" i="135" s="1"/>
  <c r="U9" i="135" s="1"/>
  <c r="I9" i="132" l="1"/>
  <c r="L9" i="132" s="1"/>
  <c r="U9" i="132" s="1"/>
  <c r="D2" i="135" l="1"/>
  <c r="G2" i="135"/>
  <c r="G2" i="134"/>
  <c r="D2" i="133"/>
  <c r="G2" i="133"/>
  <c r="N2" i="135"/>
  <c r="I2" i="135"/>
  <c r="L1" i="135"/>
  <c r="N2" i="134"/>
  <c r="I2" i="134"/>
  <c r="L1" i="134"/>
  <c r="N2" i="133"/>
  <c r="I2" i="133"/>
  <c r="L1" i="133"/>
  <c r="N2" i="132"/>
  <c r="G2" i="132"/>
  <c r="I2" i="132"/>
  <c r="D2" i="132"/>
</calcChain>
</file>

<file path=xl/sharedStrings.xml><?xml version="1.0" encoding="utf-8"?>
<sst xmlns="http://schemas.openxmlformats.org/spreadsheetml/2006/main" count="145" uniqueCount="38">
  <si>
    <t>Score Sheet Information</t>
  </si>
  <si>
    <t>Semester</t>
  </si>
  <si>
    <t>Academic Year</t>
  </si>
  <si>
    <t>Class</t>
  </si>
  <si>
    <t>Program</t>
  </si>
  <si>
    <t>Bilingual Program</t>
  </si>
  <si>
    <t>Subject</t>
  </si>
  <si>
    <t>Teacher</t>
  </si>
  <si>
    <t>Mathematics</t>
  </si>
  <si>
    <t>Science</t>
  </si>
  <si>
    <t>English</t>
  </si>
  <si>
    <t>Arts</t>
  </si>
  <si>
    <t>Score Sheet : Semester</t>
  </si>
  <si>
    <t xml:space="preserve">Academic Year </t>
  </si>
  <si>
    <t>No.</t>
  </si>
  <si>
    <t>Name</t>
  </si>
  <si>
    <t>Scoring</t>
  </si>
  <si>
    <t>Test</t>
  </si>
  <si>
    <t>Total Test.</t>
  </si>
  <si>
    <t>Midterm Exam</t>
  </si>
  <si>
    <t>RETEST</t>
  </si>
  <si>
    <t>Total Test.+Midterm</t>
  </si>
  <si>
    <t>Final Exam</t>
  </si>
  <si>
    <t>Total Test+Final</t>
  </si>
  <si>
    <t>Total Score</t>
  </si>
  <si>
    <t>Test1 (K)</t>
  </si>
  <si>
    <t>Test2 (S)</t>
  </si>
  <si>
    <t>Test3 (A)</t>
  </si>
  <si>
    <t>Test4 (C)</t>
  </si>
  <si>
    <t>Mr.Vladimir</t>
  </si>
  <si>
    <t>Mr.Nadir</t>
  </si>
  <si>
    <t>P.1/3</t>
  </si>
  <si>
    <t>Final Grade</t>
  </si>
  <si>
    <t>Mr.Rodrigo</t>
  </si>
  <si>
    <t>Mr. Alex</t>
  </si>
  <si>
    <t>Furgoson</t>
  </si>
  <si>
    <t>Ms. Hermionee</t>
  </si>
  <si>
    <t>Granger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</si>
</sst>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87" formatCode="&quot; &quot;* #,##0&quot; &quot;;&quot;-&quot;* #,##0&quot; &quot;;&quot; &quot;* &quot;- &quot;"/>
    <numFmt numFmtId="188" formatCode="&quot; &quot;#,##0&quot; &quot;;&quot;-&quot;#,##0&quot; &quot;;&quot; - &quot;;&quot; &quot;@&quot; &quot;"/>
  </numFmts>
  <fonts count="36" x14ac:knownFonts="1">
    <font>
      <sz val="11"/>
      <color theme="1"/>
      <name val="Tahoma"/>
      <family val="2"/>
      <charset val="222"/>
      <scheme val="minor"/>
    </font>
    <font>
      <sz val="11"/>
      <color indexed="8"/>
      <name val="Tahoma"/>
      <family val="2"/>
      <charset val="222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Tahoma"/>
      <family val="2"/>
    </font>
    <font>
      <sz val="11"/>
      <color indexed="20"/>
      <name val="Tahoma"/>
      <family val="2"/>
      <charset val="222"/>
    </font>
    <font>
      <sz val="16"/>
      <name val="Angsana New"/>
      <family val="1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</font>
    <font>
      <sz val="11"/>
      <color theme="1"/>
      <name val="Tahoma"/>
      <family val="2"/>
      <scheme val="minor"/>
    </font>
    <font>
      <sz val="18"/>
      <color theme="1"/>
      <name val="TH Sarabun New"/>
      <family val="2"/>
    </font>
    <font>
      <sz val="16"/>
      <color theme="1"/>
      <name val="Angsana New"/>
      <family val="1"/>
    </font>
    <font>
      <sz val="12"/>
      <color theme="1"/>
      <name val="Angsana New"/>
      <family val="1"/>
    </font>
    <font>
      <b/>
      <sz val="18"/>
      <color theme="3" tint="-0.249977111117893"/>
      <name val="Angsana New"/>
      <family val="1"/>
    </font>
    <font>
      <sz val="18"/>
      <color theme="1"/>
      <name val="Angsana New"/>
      <family val="1"/>
    </font>
    <font>
      <b/>
      <sz val="18"/>
      <color rgb="FF0070C0"/>
      <name val="Angsana New"/>
      <family val="1"/>
    </font>
    <font>
      <b/>
      <sz val="20"/>
      <color theme="1"/>
      <name val="Angsana New"/>
      <family val="1"/>
    </font>
    <font>
      <b/>
      <u val="double"/>
      <sz val="18"/>
      <color rgb="FFFF0000"/>
      <name val="Angsana New"/>
      <family val="1"/>
    </font>
    <font>
      <b/>
      <sz val="18"/>
      <color rgb="FFFF0000"/>
      <name val="Angsana New"/>
      <family val="1"/>
    </font>
    <font>
      <b/>
      <sz val="16"/>
      <name val="Angsana New"/>
      <family val="1"/>
    </font>
    <font>
      <b/>
      <sz val="16"/>
      <color rgb="FF0000CC"/>
      <name val="Angsana New"/>
      <family val="1"/>
    </font>
    <font>
      <b/>
      <sz val="16"/>
      <color indexed="30"/>
      <name val="Angsana New"/>
      <family val="1"/>
    </font>
    <font>
      <b/>
      <sz val="16"/>
      <color rgb="FFFF0000"/>
      <name val="Angsana New"/>
      <family val="1"/>
    </font>
    <font>
      <b/>
      <sz val="16"/>
      <color rgb="FF0000FF"/>
      <name val="Angsana New"/>
      <family val="1"/>
    </font>
    <font>
      <sz val="14"/>
      <name val="Angsana New"/>
      <family val="1"/>
    </font>
    <font>
      <i/>
      <sz val="16"/>
      <color theme="1"/>
      <name val="Angsana New"/>
      <family val="1"/>
    </font>
    <font>
      <sz val="16"/>
      <color indexed="8"/>
      <name val="Angsana New"/>
      <family val="1"/>
    </font>
    <font>
      <sz val="11"/>
      <name val="Calibri"/>
      <family val="2"/>
    </font>
    <font>
      <b/>
      <sz val="16"/>
      <color theme="1"/>
      <name val="Angsana New"/>
      <family val="1"/>
    </font>
    <font>
      <sz val="12"/>
      <name val="Angsana New"/>
      <family val="1"/>
    </font>
    <font>
      <sz val="16"/>
      <color rgb="FF000000"/>
      <name val="Angsana New"/>
      <family val="1"/>
    </font>
    <font>
      <sz val="11"/>
      <name val="Calibri"/>
    </font>
    <font>
      <sz val="16"/>
      <color indexed="8"/>
      <name val="Angsana New"/>
    </font>
    <font>
      <b/>
      <sz val="16"/>
      <color rgb="FF0070C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FFFFFF"/>
        <bgColor rgb="FFFFFFFF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78">
    <xf numFmtId="0" fontId="0" fillId="0" borderId="0"/>
    <xf numFmtId="0" fontId="10" fillId="0" borderId="0"/>
    <xf numFmtId="0" fontId="3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4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10" fillId="0" borderId="0"/>
    <xf numFmtId="0" fontId="2" fillId="0" borderId="0"/>
    <xf numFmtId="0" fontId="4" fillId="0" borderId="0"/>
    <xf numFmtId="0" fontId="5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5" fillId="0" borderId="0"/>
    <xf numFmtId="0" fontId="2" fillId="0" borderId="0"/>
    <xf numFmtId="0" fontId="7" fillId="2" borderId="0" applyNumberFormat="0" applyBorder="0" applyAlignment="0" applyProtection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3" fillId="0" borderId="0"/>
  </cellStyleXfs>
  <cellXfs count="153">
    <xf numFmtId="0" fontId="0" fillId="0" borderId="0" xfId="0"/>
    <xf numFmtId="0" fontId="12" fillId="0" borderId="0" xfId="0" applyFont="1"/>
    <xf numFmtId="0" fontId="16" fillId="5" borderId="4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17" fontId="16" fillId="5" borderId="6" xfId="0" quotePrefix="1" applyNumberFormat="1" applyFont="1" applyFill="1" applyBorder="1" applyAlignment="1">
      <alignment horizontal="center"/>
    </xf>
    <xf numFmtId="0" fontId="18" fillId="3" borderId="1" xfId="0" applyFont="1" applyFill="1" applyBorder="1"/>
    <xf numFmtId="0" fontId="18" fillId="3" borderId="2" xfId="0" applyFont="1" applyFill="1" applyBorder="1"/>
    <xf numFmtId="0" fontId="18" fillId="3" borderId="3" xfId="0" applyFont="1" applyFill="1" applyBorder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22" fillId="4" borderId="13" xfId="168" applyFont="1" applyFill="1" applyBorder="1" applyAlignment="1">
      <alignment horizontal="center" vertical="center"/>
    </xf>
    <xf numFmtId="0" fontId="18" fillId="4" borderId="7" xfId="0" applyFont="1" applyFill="1" applyBorder="1"/>
    <xf numFmtId="0" fontId="16" fillId="6" borderId="8" xfId="0" applyFont="1" applyFill="1" applyBorder="1" applyAlignment="1">
      <alignment horizontal="center"/>
    </xf>
    <xf numFmtId="0" fontId="17" fillId="7" borderId="17" xfId="0" applyFont="1" applyFill="1" applyBorder="1" applyAlignment="1">
      <alignment horizontal="center"/>
    </xf>
    <xf numFmtId="0" fontId="17" fillId="7" borderId="18" xfId="0" applyFont="1" applyFill="1" applyBorder="1" applyAlignment="1">
      <alignment horizontal="center"/>
    </xf>
    <xf numFmtId="41" fontId="24" fillId="8" borderId="9" xfId="0" applyNumberFormat="1" applyFont="1" applyFill="1" applyBorder="1" applyAlignment="1">
      <alignment horizontal="center" vertical="top"/>
    </xf>
    <xf numFmtId="0" fontId="8" fillId="8" borderId="9" xfId="20" applyFont="1" applyFill="1" applyBorder="1" applyAlignment="1">
      <alignment horizontal="center" vertical="top"/>
    </xf>
    <xf numFmtId="0" fontId="26" fillId="8" borderId="0" xfId="19" applyFont="1" applyFill="1" applyAlignment="1">
      <alignment vertical="top"/>
    </xf>
    <xf numFmtId="0" fontId="13" fillId="8" borderId="0" xfId="19" applyFont="1" applyFill="1" applyAlignment="1">
      <alignment vertical="top"/>
    </xf>
    <xf numFmtId="41" fontId="25" fillId="4" borderId="9" xfId="19" applyNumberFormat="1" applyFont="1" applyFill="1" applyBorder="1" applyAlignment="1">
      <alignment horizontal="center" vertical="top"/>
    </xf>
    <xf numFmtId="0" fontId="21" fillId="8" borderId="0" xfId="20" applyFont="1" applyFill="1" applyAlignment="1">
      <alignment vertical="top"/>
    </xf>
    <xf numFmtId="0" fontId="13" fillId="8" borderId="0" xfId="19" applyFont="1" applyFill="1" applyAlignment="1">
      <alignment horizontal="left" vertical="top"/>
    </xf>
    <xf numFmtId="0" fontId="21" fillId="8" borderId="0" xfId="20" applyFont="1" applyFill="1" applyAlignment="1">
      <alignment horizontal="center" vertical="top"/>
    </xf>
    <xf numFmtId="0" fontId="8" fillId="8" borderId="0" xfId="20" applyFont="1" applyFill="1" applyAlignment="1">
      <alignment horizontal="center" vertical="top"/>
    </xf>
    <xf numFmtId="0" fontId="21" fillId="8" borderId="0" xfId="20" applyFont="1" applyFill="1" applyAlignment="1">
      <alignment horizontal="left" vertical="top"/>
    </xf>
    <xf numFmtId="17" fontId="21" fillId="8" borderId="0" xfId="20" applyNumberFormat="1" applyFont="1" applyFill="1" applyAlignment="1">
      <alignment vertical="top"/>
    </xf>
    <xf numFmtId="0" fontId="8" fillId="8" borderId="11" xfId="20" applyFont="1" applyFill="1" applyBorder="1" applyAlignment="1">
      <alignment vertical="top"/>
    </xf>
    <xf numFmtId="0" fontId="8" fillId="8" borderId="12" xfId="20" applyFont="1" applyFill="1" applyBorder="1" applyAlignment="1">
      <alignment vertical="top"/>
    </xf>
    <xf numFmtId="0" fontId="8" fillId="8" borderId="10" xfId="20" applyFont="1" applyFill="1" applyBorder="1" applyAlignment="1">
      <alignment horizontal="center" vertical="top"/>
    </xf>
    <xf numFmtId="0" fontId="21" fillId="8" borderId="13" xfId="20" applyFont="1" applyFill="1" applyBorder="1" applyAlignment="1">
      <alignment horizontal="center" vertical="center"/>
    </xf>
    <xf numFmtId="0" fontId="24" fillId="8" borderId="13" xfId="168" applyFont="1" applyFill="1" applyBorder="1" applyAlignment="1">
      <alignment horizontal="center" vertical="center"/>
    </xf>
    <xf numFmtId="0" fontId="21" fillId="8" borderId="13" xfId="168" applyFont="1" applyFill="1" applyBorder="1" applyAlignment="1">
      <alignment horizontal="center" vertical="center"/>
    </xf>
    <xf numFmtId="0" fontId="24" fillId="8" borderId="13" xfId="20" applyFont="1" applyFill="1" applyBorder="1" applyAlignment="1">
      <alignment horizontal="center" vertical="center"/>
    </xf>
    <xf numFmtId="0" fontId="14" fillId="8" borderId="0" xfId="19" applyFont="1" applyFill="1" applyAlignment="1">
      <alignment horizontal="left" vertical="top"/>
    </xf>
    <xf numFmtId="0" fontId="14" fillId="8" borderId="0" xfId="19" applyFont="1" applyFill="1" applyAlignment="1">
      <alignment vertical="top"/>
    </xf>
    <xf numFmtId="0" fontId="8" fillId="8" borderId="0" xfId="19" applyFont="1" applyFill="1" applyAlignment="1">
      <alignment vertical="top"/>
    </xf>
    <xf numFmtId="0" fontId="21" fillId="8" borderId="20" xfId="20" applyFont="1" applyFill="1" applyBorder="1" applyAlignment="1">
      <alignment horizontal="center" vertical="center"/>
    </xf>
    <xf numFmtId="0" fontId="21" fillId="8" borderId="9" xfId="20" applyFont="1" applyFill="1" applyBorder="1" applyAlignment="1">
      <alignment horizontal="center" vertical="center"/>
    </xf>
    <xf numFmtId="0" fontId="24" fillId="8" borderId="9" xfId="168" applyFont="1" applyFill="1" applyBorder="1" applyAlignment="1">
      <alignment horizontal="center" vertical="center"/>
    </xf>
    <xf numFmtId="0" fontId="21" fillId="8" borderId="9" xfId="168" applyFont="1" applyFill="1" applyBorder="1" applyAlignment="1">
      <alignment horizontal="center" vertical="center"/>
    </xf>
    <xf numFmtId="0" fontId="22" fillId="4" borderId="9" xfId="168" applyFont="1" applyFill="1" applyBorder="1" applyAlignment="1">
      <alignment horizontal="center" vertical="center"/>
    </xf>
    <xf numFmtId="0" fontId="27" fillId="8" borderId="0" xfId="19" applyFont="1" applyFill="1" applyAlignment="1">
      <alignment vertical="top"/>
    </xf>
    <xf numFmtId="0" fontId="18" fillId="3" borderId="22" xfId="0" applyFont="1" applyFill="1" applyBorder="1"/>
    <xf numFmtId="0" fontId="16" fillId="5" borderId="23" xfId="0" applyFont="1" applyFill="1" applyBorder="1" applyAlignment="1">
      <alignment horizontal="center"/>
    </xf>
    <xf numFmtId="0" fontId="8" fillId="8" borderId="10" xfId="0" applyFont="1" applyFill="1" applyBorder="1"/>
    <xf numFmtId="0" fontId="13" fillId="9" borderId="24" xfId="0" applyFont="1" applyFill="1" applyBorder="1" applyAlignment="1">
      <alignment horizontal="center"/>
    </xf>
    <xf numFmtId="187" fontId="28" fillId="8" borderId="24" xfId="0" applyNumberFormat="1" applyFont="1" applyFill="1" applyBorder="1" applyAlignment="1">
      <alignment horizontal="center" vertical="top"/>
    </xf>
    <xf numFmtId="0" fontId="13" fillId="9" borderId="25" xfId="0" applyFont="1" applyFill="1" applyBorder="1" applyAlignment="1">
      <alignment horizontal="center"/>
    </xf>
    <xf numFmtId="0" fontId="8" fillId="8" borderId="20" xfId="0" applyFont="1" applyFill="1" applyBorder="1"/>
    <xf numFmtId="0" fontId="13" fillId="8" borderId="10" xfId="19" applyFont="1" applyFill="1" applyBorder="1" applyAlignment="1">
      <alignment vertical="top"/>
    </xf>
    <xf numFmtId="0" fontId="13" fillId="8" borderId="20" xfId="19" applyFont="1" applyFill="1" applyBorder="1" applyAlignment="1">
      <alignment vertical="top"/>
    </xf>
    <xf numFmtId="0" fontId="13" fillId="9" borderId="26" xfId="0" applyFont="1" applyFill="1" applyBorder="1" applyAlignment="1">
      <alignment horizontal="center"/>
    </xf>
    <xf numFmtId="0" fontId="13" fillId="9" borderId="27" xfId="0" applyFont="1" applyFill="1" applyBorder="1" applyAlignment="1">
      <alignment horizontal="center"/>
    </xf>
    <xf numFmtId="0" fontId="13" fillId="9" borderId="28" xfId="0" applyFont="1" applyFill="1" applyBorder="1" applyAlignment="1">
      <alignment horizontal="center"/>
    </xf>
    <xf numFmtId="0" fontId="8" fillId="8" borderId="21" xfId="0" applyFont="1" applyFill="1" applyBorder="1"/>
    <xf numFmtId="187" fontId="28" fillId="9" borderId="24" xfId="0" applyNumberFormat="1" applyFont="1" applyFill="1" applyBorder="1" applyAlignment="1">
      <alignment horizontal="center" vertical="center"/>
    </xf>
    <xf numFmtId="41" fontId="24" fillId="8" borderId="9" xfId="20" applyNumberFormat="1" applyFont="1" applyFill="1" applyBorder="1" applyAlignment="1">
      <alignment horizontal="center" vertical="top"/>
    </xf>
    <xf numFmtId="17" fontId="30" fillId="8" borderId="0" xfId="19" applyNumberFormat="1" applyFont="1" applyFill="1" applyAlignment="1">
      <alignment vertical="top"/>
    </xf>
    <xf numFmtId="0" fontId="30" fillId="8" borderId="0" xfId="19" applyFont="1" applyFill="1" applyAlignment="1">
      <alignment vertical="top"/>
    </xf>
    <xf numFmtId="0" fontId="8" fillId="0" borderId="9" xfId="20" applyFont="1" applyFill="1" applyBorder="1" applyAlignment="1">
      <alignment horizontal="center" vertical="top"/>
    </xf>
    <xf numFmtId="0" fontId="13" fillId="0" borderId="10" xfId="19" applyFont="1" applyFill="1" applyBorder="1" applyAlignment="1">
      <alignment vertical="top"/>
    </xf>
    <xf numFmtId="188" fontId="32" fillId="10" borderId="31" xfId="0" applyNumberFormat="1" applyFont="1" applyFill="1" applyBorder="1" applyAlignment="1">
      <alignment horizontal="center" vertical="top"/>
    </xf>
    <xf numFmtId="188" fontId="32" fillId="10" borderId="30" xfId="0" applyNumberFormat="1" applyFont="1" applyFill="1" applyBorder="1" applyAlignment="1">
      <alignment horizontal="center" vertical="top"/>
    </xf>
    <xf numFmtId="188" fontId="32" fillId="10" borderId="29" xfId="0" applyNumberFormat="1" applyFont="1" applyFill="1" applyBorder="1" applyAlignment="1">
      <alignment horizontal="center" vertical="top"/>
    </xf>
    <xf numFmtId="0" fontId="8" fillId="8" borderId="9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13" fillId="8" borderId="9" xfId="19" applyFont="1" applyFill="1" applyBorder="1" applyAlignment="1">
      <alignment horizontal="center" vertical="top"/>
    </xf>
    <xf numFmtId="0" fontId="13" fillId="0" borderId="9" xfId="19" applyFont="1" applyFill="1" applyBorder="1" applyAlignment="1">
      <alignment horizontal="center" vertical="top"/>
    </xf>
    <xf numFmtId="0" fontId="13" fillId="8" borderId="13" xfId="19" applyFont="1" applyFill="1" applyBorder="1" applyAlignment="1">
      <alignment horizontal="center" vertical="top"/>
    </xf>
    <xf numFmtId="0" fontId="28" fillId="9" borderId="24" xfId="0" applyNumberFormat="1" applyFont="1" applyFill="1" applyBorder="1" applyAlignment="1">
      <alignment horizontal="center" vertical="center"/>
    </xf>
    <xf numFmtId="0" fontId="8" fillId="0" borderId="24" xfId="0" applyNumberFormat="1" applyFont="1" applyFill="1" applyBorder="1" applyAlignment="1">
      <alignment horizontal="center" vertical="center"/>
    </xf>
    <xf numFmtId="41" fontId="24" fillId="8" borderId="13" xfId="168" applyNumberFormat="1" applyFont="1" applyFill="1" applyBorder="1" applyAlignment="1">
      <alignment horizontal="center" vertical="center"/>
    </xf>
    <xf numFmtId="0" fontId="28" fillId="8" borderId="24" xfId="0" applyNumberFormat="1" applyFont="1" applyFill="1" applyBorder="1" applyAlignment="1">
      <alignment horizontal="center" vertical="top"/>
    </xf>
    <xf numFmtId="0" fontId="13" fillId="8" borderId="24" xfId="0" applyNumberFormat="1" applyFont="1" applyFill="1" applyBorder="1" applyAlignment="1">
      <alignment horizontal="center" vertical="top"/>
    </xf>
    <xf numFmtId="0" fontId="28" fillId="0" borderId="24" xfId="0" applyNumberFormat="1" applyFont="1" applyFill="1" applyBorder="1" applyAlignment="1">
      <alignment horizontal="center" vertical="top"/>
    </xf>
    <xf numFmtId="0" fontId="31" fillId="0" borderId="0" xfId="19" applyFont="1" applyFill="1" applyAlignment="1">
      <alignment vertical="top"/>
    </xf>
    <xf numFmtId="0" fontId="8" fillId="0" borderId="27" xfId="0" applyFont="1" applyFill="1" applyBorder="1" applyAlignment="1">
      <alignment horizontal="center"/>
    </xf>
    <xf numFmtId="0" fontId="8" fillId="0" borderId="25" xfId="0" applyFont="1" applyFill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187" fontId="8" fillId="0" borderId="24" xfId="0" applyNumberFormat="1" applyFont="1" applyFill="1" applyBorder="1" applyAlignment="1">
      <alignment horizontal="center" vertical="center"/>
    </xf>
    <xf numFmtId="0" fontId="8" fillId="0" borderId="24" xfId="0" applyNumberFormat="1" applyFont="1" applyFill="1" applyBorder="1" applyAlignment="1">
      <alignment horizontal="center" vertical="top"/>
    </xf>
    <xf numFmtId="0" fontId="8" fillId="0" borderId="14" xfId="19" applyFont="1" applyFill="1" applyBorder="1" applyAlignment="1">
      <alignment horizontal="center" vertical="top"/>
    </xf>
    <xf numFmtId="0" fontId="8" fillId="0" borderId="9" xfId="169" applyFont="1" applyBorder="1" applyAlignment="1">
      <alignment horizontal="left" vertical="center"/>
    </xf>
    <xf numFmtId="0" fontId="8" fillId="0" borderId="14" xfId="169" applyFont="1" applyBorder="1" applyAlignment="1">
      <alignment horizontal="left" vertical="center"/>
    </xf>
    <xf numFmtId="0" fontId="8" fillId="0" borderId="13" xfId="169" applyFont="1" applyBorder="1" applyAlignment="1">
      <alignment horizontal="left" vertical="center"/>
    </xf>
    <xf numFmtId="0" fontId="31" fillId="0" borderId="14" xfId="19" applyFont="1" applyFill="1" applyBorder="1" applyAlignment="1">
      <alignment horizontal="left" vertical="top"/>
    </xf>
    <xf numFmtId="0" fontId="8" fillId="0" borderId="9" xfId="169" applyFont="1" applyFill="1" applyBorder="1" applyAlignment="1">
      <alignment horizontal="left" vertical="center"/>
    </xf>
    <xf numFmtId="0" fontId="8" fillId="0" borderId="14" xfId="19" applyFont="1" applyFill="1" applyBorder="1" applyAlignment="1">
      <alignment horizontal="left" vertical="top"/>
    </xf>
    <xf numFmtId="0" fontId="8" fillId="0" borderId="0" xfId="19" applyFont="1" applyFill="1" applyAlignment="1">
      <alignment vertical="top"/>
    </xf>
    <xf numFmtId="0" fontId="8" fillId="0" borderId="0" xfId="19" applyNumberFormat="1" applyFont="1" applyFill="1" applyAlignment="1">
      <alignment horizontal="center" vertical="top"/>
    </xf>
    <xf numFmtId="0" fontId="34" fillId="9" borderId="24" xfId="0" applyNumberFormat="1" applyFont="1" applyFill="1" applyBorder="1" applyAlignment="1">
      <alignment horizontal="center" vertical="top"/>
    </xf>
    <xf numFmtId="0" fontId="35" fillId="8" borderId="9" xfId="19" applyFont="1" applyFill="1" applyBorder="1" applyAlignment="1">
      <alignment horizontal="center" vertical="top"/>
    </xf>
    <xf numFmtId="0" fontId="28" fillId="9" borderId="25" xfId="0" applyNumberFormat="1" applyFont="1" applyFill="1" applyBorder="1" applyAlignment="1">
      <alignment horizontal="center" vertical="center"/>
    </xf>
    <xf numFmtId="0" fontId="13" fillId="9" borderId="34" xfId="0" applyFont="1" applyFill="1" applyBorder="1" applyAlignment="1">
      <alignment horizontal="center"/>
    </xf>
    <xf numFmtId="0" fontId="13" fillId="9" borderId="35" xfId="0" applyFont="1" applyFill="1" applyBorder="1" applyAlignment="1">
      <alignment horizontal="center"/>
    </xf>
    <xf numFmtId="0" fontId="13" fillId="9" borderId="36" xfId="0" applyFont="1" applyFill="1" applyBorder="1" applyAlignment="1">
      <alignment horizontal="center"/>
    </xf>
    <xf numFmtId="0" fontId="8" fillId="8" borderId="19" xfId="0" applyFont="1" applyFill="1" applyBorder="1" applyAlignment="1">
      <alignment horizontal="center"/>
    </xf>
    <xf numFmtId="0" fontId="8" fillId="0" borderId="19" xfId="169" applyFont="1" applyBorder="1" applyAlignment="1">
      <alignment horizontal="left" vertical="center"/>
    </xf>
    <xf numFmtId="0" fontId="8" fillId="8" borderId="33" xfId="0" applyFont="1" applyFill="1" applyBorder="1"/>
    <xf numFmtId="0" fontId="13" fillId="9" borderId="37" xfId="0" applyFont="1" applyFill="1" applyBorder="1" applyAlignment="1">
      <alignment horizontal="center"/>
    </xf>
    <xf numFmtId="0" fontId="13" fillId="9" borderId="38" xfId="0" applyFont="1" applyFill="1" applyBorder="1" applyAlignment="1">
      <alignment horizontal="center"/>
    </xf>
    <xf numFmtId="0" fontId="13" fillId="9" borderId="39" xfId="0" applyFont="1" applyFill="1" applyBorder="1" applyAlignment="1">
      <alignment horizontal="center"/>
    </xf>
    <xf numFmtId="41" fontId="24" fillId="8" borderId="19" xfId="0" applyNumberFormat="1" applyFont="1" applyFill="1" applyBorder="1" applyAlignment="1">
      <alignment horizontal="center" vertical="top"/>
    </xf>
    <xf numFmtId="0" fontId="13" fillId="8" borderId="9" xfId="19" applyFont="1" applyFill="1" applyBorder="1" applyAlignment="1">
      <alignment vertical="top"/>
    </xf>
    <xf numFmtId="0" fontId="14" fillId="8" borderId="9" xfId="19" applyFont="1" applyFill="1" applyBorder="1" applyAlignment="1">
      <alignment horizontal="left" vertical="top"/>
    </xf>
    <xf numFmtId="0" fontId="14" fillId="8" borderId="9" xfId="19" applyFont="1" applyFill="1" applyBorder="1" applyAlignment="1">
      <alignment vertical="top"/>
    </xf>
    <xf numFmtId="187" fontId="28" fillId="9" borderId="25" xfId="0" applyNumberFormat="1" applyFont="1" applyFill="1" applyBorder="1" applyAlignment="1">
      <alignment horizontal="center" vertical="center"/>
    </xf>
    <xf numFmtId="0" fontId="24" fillId="8" borderId="19" xfId="168" applyFont="1" applyFill="1" applyBorder="1" applyAlignment="1">
      <alignment horizontal="center" vertical="center"/>
    </xf>
    <xf numFmtId="187" fontId="28" fillId="0" borderId="24" xfId="0" applyNumberFormat="1" applyFont="1" applyFill="1" applyBorder="1" applyAlignment="1">
      <alignment horizontal="center" vertical="center"/>
    </xf>
    <xf numFmtId="0" fontId="24" fillId="0" borderId="13" xfId="20" applyFont="1" applyFill="1" applyBorder="1" applyAlignment="1">
      <alignment horizontal="center" vertical="center"/>
    </xf>
    <xf numFmtId="41" fontId="24" fillId="0" borderId="13" xfId="168" applyNumberFormat="1" applyFont="1" applyFill="1" applyBorder="1" applyAlignment="1">
      <alignment horizontal="center" vertical="center"/>
    </xf>
    <xf numFmtId="0" fontId="28" fillId="0" borderId="24" xfId="0" applyNumberFormat="1" applyFont="1" applyFill="1" applyBorder="1" applyAlignment="1">
      <alignment horizontal="center" vertical="center"/>
    </xf>
    <xf numFmtId="0" fontId="34" fillId="0" borderId="24" xfId="0" applyNumberFormat="1" applyFont="1" applyFill="1" applyBorder="1" applyAlignment="1">
      <alignment horizontal="center" vertical="top"/>
    </xf>
    <xf numFmtId="188" fontId="32" fillId="10" borderId="40" xfId="0" applyNumberFormat="1" applyFont="1" applyFill="1" applyBorder="1" applyAlignment="1">
      <alignment horizontal="center" vertical="top"/>
    </xf>
    <xf numFmtId="188" fontId="32" fillId="10" borderId="41" xfId="0" applyNumberFormat="1" applyFont="1" applyFill="1" applyBorder="1" applyAlignment="1">
      <alignment horizontal="center" vertical="top"/>
    </xf>
    <xf numFmtId="188" fontId="32" fillId="10" borderId="42" xfId="0" applyNumberFormat="1" applyFont="1" applyFill="1" applyBorder="1" applyAlignment="1">
      <alignment horizontal="center" vertical="top"/>
    </xf>
    <xf numFmtId="188" fontId="32" fillId="10" borderId="43" xfId="0" applyNumberFormat="1" applyFont="1" applyFill="1" applyBorder="1" applyAlignment="1">
      <alignment horizontal="center" vertical="top"/>
    </xf>
    <xf numFmtId="188" fontId="32" fillId="10" borderId="44" xfId="0" applyNumberFormat="1" applyFont="1" applyFill="1" applyBorder="1" applyAlignment="1">
      <alignment horizontal="center" vertical="top"/>
    </xf>
    <xf numFmtId="188" fontId="32" fillId="10" borderId="45" xfId="0" applyNumberFormat="1" applyFont="1" applyFill="1" applyBorder="1" applyAlignment="1">
      <alignment horizontal="center" vertical="top"/>
    </xf>
    <xf numFmtId="0" fontId="13" fillId="8" borderId="9" xfId="19" applyFont="1" applyFill="1" applyBorder="1" applyAlignment="1">
      <alignment horizontal="left" vertical="top"/>
    </xf>
    <xf numFmtId="188" fontId="32" fillId="10" borderId="9" xfId="0" applyNumberFormat="1" applyFont="1" applyFill="1" applyBorder="1" applyAlignment="1">
      <alignment horizontal="center" vertical="top"/>
    </xf>
    <xf numFmtId="0" fontId="15" fillId="3" borderId="7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30" fillId="8" borderId="9" xfId="19" applyFont="1" applyFill="1" applyBorder="1" applyAlignment="1">
      <alignment horizontal="center" vertical="top" textRotation="90"/>
    </xf>
    <xf numFmtId="0" fontId="21" fillId="8" borderId="9" xfId="20" applyFont="1" applyFill="1" applyBorder="1" applyAlignment="1">
      <alignment horizontal="center" vertical="top"/>
    </xf>
    <xf numFmtId="0" fontId="21" fillId="8" borderId="13" xfId="20" applyFont="1" applyFill="1" applyBorder="1" applyAlignment="1">
      <alignment horizontal="center" vertical="top"/>
    </xf>
    <xf numFmtId="0" fontId="21" fillId="8" borderId="12" xfId="20" applyFont="1" applyFill="1" applyBorder="1" applyAlignment="1">
      <alignment horizontal="center" vertical="top"/>
    </xf>
    <xf numFmtId="0" fontId="21" fillId="8" borderId="10" xfId="20" applyFont="1" applyFill="1" applyBorder="1" applyAlignment="1">
      <alignment horizontal="center" vertical="top"/>
    </xf>
    <xf numFmtId="0" fontId="21" fillId="8" borderId="19" xfId="20" applyFont="1" applyFill="1" applyBorder="1" applyAlignment="1">
      <alignment horizontal="center" vertical="top" textRotation="90"/>
    </xf>
    <xf numFmtId="0" fontId="21" fillId="8" borderId="9" xfId="20" applyFont="1" applyFill="1" applyBorder="1" applyAlignment="1">
      <alignment horizontal="center" vertical="top" textRotation="90"/>
    </xf>
    <xf numFmtId="0" fontId="21" fillId="8" borderId="13" xfId="20" applyFont="1" applyFill="1" applyBorder="1" applyAlignment="1">
      <alignment horizontal="center" vertical="top" textRotation="90"/>
    </xf>
    <xf numFmtId="0" fontId="21" fillId="8" borderId="14" xfId="20" applyFont="1" applyFill="1" applyBorder="1" applyAlignment="1">
      <alignment horizontal="center" vertical="top" textRotation="90"/>
    </xf>
    <xf numFmtId="0" fontId="23" fillId="8" borderId="14" xfId="20" applyFont="1" applyFill="1" applyBorder="1" applyAlignment="1">
      <alignment horizontal="center" vertical="top" textRotation="90"/>
    </xf>
    <xf numFmtId="0" fontId="21" fillId="8" borderId="0" xfId="20" applyFont="1" applyFill="1" applyAlignment="1">
      <alignment vertical="top"/>
    </xf>
    <xf numFmtId="0" fontId="21" fillId="8" borderId="13" xfId="20" applyFont="1" applyFill="1" applyBorder="1" applyAlignment="1">
      <alignment vertical="top" textRotation="90"/>
    </xf>
    <xf numFmtId="0" fontId="21" fillId="8" borderId="14" xfId="20" applyFont="1" applyFill="1" applyBorder="1" applyAlignment="1">
      <alignment vertical="top" textRotation="90"/>
    </xf>
    <xf numFmtId="0" fontId="21" fillId="8" borderId="10" xfId="20" applyFont="1" applyFill="1" applyBorder="1" applyAlignment="1">
      <alignment horizontal="center" vertical="top" textRotation="90"/>
    </xf>
    <xf numFmtId="0" fontId="22" fillId="4" borderId="9" xfId="20" applyFont="1" applyFill="1" applyBorder="1" applyAlignment="1">
      <alignment horizontal="center" vertical="top" textRotation="90"/>
    </xf>
    <xf numFmtId="0" fontId="23" fillId="8" borderId="9" xfId="20" applyFont="1" applyFill="1" applyBorder="1" applyAlignment="1">
      <alignment horizontal="center" vertical="top" textRotation="90"/>
    </xf>
    <xf numFmtId="0" fontId="21" fillId="8" borderId="15" xfId="20" applyFont="1" applyFill="1" applyBorder="1" applyAlignment="1">
      <alignment horizontal="center" vertical="top" textRotation="90"/>
    </xf>
    <xf numFmtId="0" fontId="21" fillId="8" borderId="16" xfId="20" applyFont="1" applyFill="1" applyBorder="1" applyAlignment="1">
      <alignment horizontal="center" vertical="top" textRotation="90"/>
    </xf>
    <xf numFmtId="0" fontId="22" fillId="4" borderId="14" xfId="20" applyFont="1" applyFill="1" applyBorder="1" applyAlignment="1">
      <alignment horizontal="center" vertical="top" textRotation="90"/>
    </xf>
    <xf numFmtId="0" fontId="21" fillId="8" borderId="20" xfId="20" applyFont="1" applyFill="1" applyBorder="1" applyAlignment="1">
      <alignment horizontal="center" vertical="top" textRotation="90"/>
    </xf>
    <xf numFmtId="0" fontId="21" fillId="8" borderId="21" xfId="20" applyFont="1" applyFill="1" applyBorder="1" applyAlignment="1">
      <alignment horizontal="center" vertical="top" textRotation="90"/>
    </xf>
    <xf numFmtId="0" fontId="21" fillId="8" borderId="11" xfId="20" applyFont="1" applyFill="1" applyBorder="1" applyAlignment="1">
      <alignment horizontal="center" vertical="top"/>
    </xf>
    <xf numFmtId="0" fontId="30" fillId="8" borderId="16" xfId="19" applyFont="1" applyFill="1" applyBorder="1" applyAlignment="1">
      <alignment horizontal="center" vertical="top" textRotation="90"/>
    </xf>
    <xf numFmtId="0" fontId="21" fillId="8" borderId="14" xfId="20" applyFont="1" applyFill="1" applyBorder="1" applyAlignment="1">
      <alignment horizontal="center" vertical="top"/>
    </xf>
    <xf numFmtId="0" fontId="22" fillId="4" borderId="19" xfId="20" applyFont="1" applyFill="1" applyBorder="1" applyAlignment="1">
      <alignment horizontal="center" vertical="top" textRotation="90"/>
    </xf>
    <xf numFmtId="0" fontId="23" fillId="8" borderId="19" xfId="20" applyFont="1" applyFill="1" applyBorder="1" applyAlignment="1">
      <alignment horizontal="center" vertical="top" textRotation="90"/>
    </xf>
    <xf numFmtId="0" fontId="21" fillId="8" borderId="32" xfId="20" applyFont="1" applyFill="1" applyBorder="1" applyAlignment="1">
      <alignment horizontal="center" vertical="top"/>
    </xf>
    <xf numFmtId="0" fontId="21" fillId="8" borderId="33" xfId="20" applyFont="1" applyFill="1" applyBorder="1" applyAlignment="1">
      <alignment horizontal="center" vertical="top"/>
    </xf>
  </cellXfs>
  <cellStyles count="178">
    <cellStyle name="Normal" xfId="0" builtinId="0"/>
    <cellStyle name="Normal 11" xfId="1" xr:uid="{00000000-0005-0000-0000-000000000000}"/>
    <cellStyle name="Normal 2" xfId="2" xr:uid="{00000000-0005-0000-0000-000001000000}"/>
    <cellStyle name="Normal 2 2" xfId="3" xr:uid="{00000000-0005-0000-0000-000002000000}"/>
    <cellStyle name="Normal 2 3" xfId="4" xr:uid="{00000000-0005-0000-0000-000003000000}"/>
    <cellStyle name="Normal 3" xfId="5" xr:uid="{00000000-0005-0000-0000-000004000000}"/>
    <cellStyle name="Normal 3 2" xfId="6" xr:uid="{00000000-0005-0000-0000-000005000000}"/>
    <cellStyle name="Normal 3 3" xfId="7" xr:uid="{00000000-0005-0000-0000-000006000000}"/>
    <cellStyle name="Normal 3 3 2" xfId="170" xr:uid="{00000000-0005-0000-0000-000007000000}"/>
    <cellStyle name="Normal 39" xfId="8" xr:uid="{00000000-0005-0000-0000-000008000000}"/>
    <cellStyle name="Normal 4" xfId="9" xr:uid="{00000000-0005-0000-0000-000009000000}"/>
    <cellStyle name="Normal 4 2" xfId="10" xr:uid="{00000000-0005-0000-0000-00000A000000}"/>
    <cellStyle name="Normal 4 2 2" xfId="11" xr:uid="{00000000-0005-0000-0000-00000B000000}"/>
    <cellStyle name="Normal 4 3" xfId="12" xr:uid="{00000000-0005-0000-0000-00000C000000}"/>
    <cellStyle name="Normal 4 3 2" xfId="171" xr:uid="{00000000-0005-0000-0000-00000D000000}"/>
    <cellStyle name="Normal 40" xfId="13" xr:uid="{00000000-0005-0000-0000-00000E000000}"/>
    <cellStyle name="Normal 5" xfId="14" xr:uid="{00000000-0005-0000-0000-00000F000000}"/>
    <cellStyle name="Normal 5 2" xfId="15" xr:uid="{00000000-0005-0000-0000-000010000000}"/>
    <cellStyle name="Normal 6" xfId="16" xr:uid="{00000000-0005-0000-0000-000011000000}"/>
    <cellStyle name="Normal 6 2" xfId="172" xr:uid="{00000000-0005-0000-0000-000012000000}"/>
    <cellStyle name="Normal 7" xfId="17" xr:uid="{00000000-0005-0000-0000-000013000000}"/>
    <cellStyle name="Normal 7 2" xfId="173" xr:uid="{00000000-0005-0000-0000-000014000000}"/>
    <cellStyle name="Normal 8" xfId="18" xr:uid="{00000000-0005-0000-0000-000015000000}"/>
    <cellStyle name="Normal 9" xfId="19" xr:uid="{00000000-0005-0000-0000-000016000000}"/>
    <cellStyle name="Normal_Sheet4" xfId="20" xr:uid="{00000000-0005-0000-0000-000017000000}"/>
    <cellStyle name="ปกติ 10" xfId="177" xr:uid="{00000000-0005-0000-0000-000019000000}"/>
    <cellStyle name="ปกติ 2" xfId="21" xr:uid="{00000000-0005-0000-0000-00001A000000}"/>
    <cellStyle name="ปกติ 2 10" xfId="22" xr:uid="{00000000-0005-0000-0000-00001B000000}"/>
    <cellStyle name="ปกติ 2 11" xfId="23" xr:uid="{00000000-0005-0000-0000-00001C000000}"/>
    <cellStyle name="ปกติ 2 12" xfId="24" xr:uid="{00000000-0005-0000-0000-00001D000000}"/>
    <cellStyle name="ปกติ 2 13" xfId="25" xr:uid="{00000000-0005-0000-0000-00001E000000}"/>
    <cellStyle name="ปกติ 2 14" xfId="26" xr:uid="{00000000-0005-0000-0000-00001F000000}"/>
    <cellStyle name="ปกติ 2 15" xfId="27" xr:uid="{00000000-0005-0000-0000-000020000000}"/>
    <cellStyle name="ปกติ 2 16" xfId="28" xr:uid="{00000000-0005-0000-0000-000021000000}"/>
    <cellStyle name="ปกติ 2 17" xfId="29" xr:uid="{00000000-0005-0000-0000-000022000000}"/>
    <cellStyle name="ปกติ 2 18" xfId="30" xr:uid="{00000000-0005-0000-0000-000023000000}"/>
    <cellStyle name="ปกติ 2 19" xfId="31" xr:uid="{00000000-0005-0000-0000-000024000000}"/>
    <cellStyle name="ปกติ 2 2" xfId="32" xr:uid="{00000000-0005-0000-0000-000025000000}"/>
    <cellStyle name="ปกติ 2 2 2" xfId="174" xr:uid="{00000000-0005-0000-0000-000026000000}"/>
    <cellStyle name="ปกติ 2 20" xfId="33" xr:uid="{00000000-0005-0000-0000-000027000000}"/>
    <cellStyle name="ปกติ 2 21" xfId="34" xr:uid="{00000000-0005-0000-0000-000028000000}"/>
    <cellStyle name="ปกติ 2 22" xfId="35" xr:uid="{00000000-0005-0000-0000-000029000000}"/>
    <cellStyle name="ปกติ 2 23" xfId="36" xr:uid="{00000000-0005-0000-0000-00002A000000}"/>
    <cellStyle name="ปกติ 2 24" xfId="37" xr:uid="{00000000-0005-0000-0000-00002B000000}"/>
    <cellStyle name="ปกติ 2 25" xfId="38" xr:uid="{00000000-0005-0000-0000-00002C000000}"/>
    <cellStyle name="ปกติ 2 26" xfId="39" xr:uid="{00000000-0005-0000-0000-00002D000000}"/>
    <cellStyle name="ปกติ 2 27" xfId="40" xr:uid="{00000000-0005-0000-0000-00002E000000}"/>
    <cellStyle name="ปกติ 2 28" xfId="41" xr:uid="{00000000-0005-0000-0000-00002F000000}"/>
    <cellStyle name="ปกติ 2 29" xfId="42" xr:uid="{00000000-0005-0000-0000-000030000000}"/>
    <cellStyle name="ปกติ 2 3" xfId="43" xr:uid="{00000000-0005-0000-0000-000031000000}"/>
    <cellStyle name="ปกติ 2 3 2" xfId="175" xr:uid="{00000000-0005-0000-0000-000032000000}"/>
    <cellStyle name="ปกติ 2 30" xfId="44" xr:uid="{00000000-0005-0000-0000-000033000000}"/>
    <cellStyle name="ปกติ 2 31" xfId="45" xr:uid="{00000000-0005-0000-0000-000034000000}"/>
    <cellStyle name="ปกติ 2 32" xfId="46" xr:uid="{00000000-0005-0000-0000-000035000000}"/>
    <cellStyle name="ปกติ 2 33" xfId="47" xr:uid="{00000000-0005-0000-0000-000036000000}"/>
    <cellStyle name="ปกติ 2 34" xfId="48" xr:uid="{00000000-0005-0000-0000-000037000000}"/>
    <cellStyle name="ปกติ 2 35" xfId="49" xr:uid="{00000000-0005-0000-0000-000038000000}"/>
    <cellStyle name="ปกติ 2 36" xfId="50" xr:uid="{00000000-0005-0000-0000-000039000000}"/>
    <cellStyle name="ปกติ 2 37" xfId="51" xr:uid="{00000000-0005-0000-0000-00003A000000}"/>
    <cellStyle name="ปกติ 2 38" xfId="52" xr:uid="{00000000-0005-0000-0000-00003B000000}"/>
    <cellStyle name="ปกติ 2 39" xfId="53" xr:uid="{00000000-0005-0000-0000-00003C000000}"/>
    <cellStyle name="ปกติ 2 4" xfId="54" xr:uid="{00000000-0005-0000-0000-00003D000000}"/>
    <cellStyle name="ปกติ 2 4 2" xfId="176" xr:uid="{00000000-0005-0000-0000-00003E000000}"/>
    <cellStyle name="ปกติ 2 40" xfId="55" xr:uid="{00000000-0005-0000-0000-00003F000000}"/>
    <cellStyle name="ปกติ 2 41" xfId="56" xr:uid="{00000000-0005-0000-0000-000040000000}"/>
    <cellStyle name="ปกติ 2 42" xfId="57" xr:uid="{00000000-0005-0000-0000-000041000000}"/>
    <cellStyle name="ปกติ 2 43" xfId="58" xr:uid="{00000000-0005-0000-0000-000042000000}"/>
    <cellStyle name="ปกติ 2 44" xfId="59" xr:uid="{00000000-0005-0000-0000-000043000000}"/>
    <cellStyle name="ปกติ 2 45" xfId="60" xr:uid="{00000000-0005-0000-0000-000044000000}"/>
    <cellStyle name="ปกติ 2 46" xfId="61" xr:uid="{00000000-0005-0000-0000-000045000000}"/>
    <cellStyle name="ปกติ 2 47" xfId="62" xr:uid="{00000000-0005-0000-0000-000046000000}"/>
    <cellStyle name="ปกติ 2 48" xfId="63" xr:uid="{00000000-0005-0000-0000-000047000000}"/>
    <cellStyle name="ปกติ 2 5" xfId="64" xr:uid="{00000000-0005-0000-0000-000048000000}"/>
    <cellStyle name="ปกติ 2 6" xfId="65" xr:uid="{00000000-0005-0000-0000-000049000000}"/>
    <cellStyle name="ปกติ 2 7" xfId="66" xr:uid="{00000000-0005-0000-0000-00004A000000}"/>
    <cellStyle name="ปกติ 2 8" xfId="67" xr:uid="{00000000-0005-0000-0000-00004B000000}"/>
    <cellStyle name="ปกติ 2 9" xfId="68" xr:uid="{00000000-0005-0000-0000-00004C000000}"/>
    <cellStyle name="ปกติ 3" xfId="69" xr:uid="{00000000-0005-0000-0000-00004D000000}"/>
    <cellStyle name="ปกติ 3 2" xfId="70" xr:uid="{00000000-0005-0000-0000-00004E000000}"/>
    <cellStyle name="ปกติ 3 2 10" xfId="71" xr:uid="{00000000-0005-0000-0000-00004F000000}"/>
    <cellStyle name="ปกติ 3 2 11" xfId="72" xr:uid="{00000000-0005-0000-0000-000050000000}"/>
    <cellStyle name="ปกติ 3 2 12" xfId="73" xr:uid="{00000000-0005-0000-0000-000051000000}"/>
    <cellStyle name="ปกติ 3 2 13" xfId="74" xr:uid="{00000000-0005-0000-0000-000052000000}"/>
    <cellStyle name="ปกติ 3 2 14" xfId="75" xr:uid="{00000000-0005-0000-0000-000053000000}"/>
    <cellStyle name="ปกติ 3 2 15" xfId="76" xr:uid="{00000000-0005-0000-0000-000054000000}"/>
    <cellStyle name="ปกติ 3 2 16" xfId="77" xr:uid="{00000000-0005-0000-0000-000055000000}"/>
    <cellStyle name="ปกติ 3 2 17" xfId="78" xr:uid="{00000000-0005-0000-0000-000056000000}"/>
    <cellStyle name="ปกติ 3 2 18" xfId="79" xr:uid="{00000000-0005-0000-0000-000057000000}"/>
    <cellStyle name="ปกติ 3 2 19" xfId="80" xr:uid="{00000000-0005-0000-0000-000058000000}"/>
    <cellStyle name="ปกติ 3 2 2" xfId="81" xr:uid="{00000000-0005-0000-0000-000059000000}"/>
    <cellStyle name="ปกติ 3 2 20" xfId="82" xr:uid="{00000000-0005-0000-0000-00005A000000}"/>
    <cellStyle name="ปกติ 3 2 21" xfId="83" xr:uid="{00000000-0005-0000-0000-00005B000000}"/>
    <cellStyle name="ปกติ 3 2 22" xfId="84" xr:uid="{00000000-0005-0000-0000-00005C000000}"/>
    <cellStyle name="ปกติ 3 2 23" xfId="85" xr:uid="{00000000-0005-0000-0000-00005D000000}"/>
    <cellStyle name="ปกติ 3 2 24" xfId="86" xr:uid="{00000000-0005-0000-0000-00005E000000}"/>
    <cellStyle name="ปกติ 3 2 25" xfId="87" xr:uid="{00000000-0005-0000-0000-00005F000000}"/>
    <cellStyle name="ปกติ 3 2 26" xfId="88" xr:uid="{00000000-0005-0000-0000-000060000000}"/>
    <cellStyle name="ปกติ 3 2 27" xfId="89" xr:uid="{00000000-0005-0000-0000-000061000000}"/>
    <cellStyle name="ปกติ 3 2 28" xfId="90" xr:uid="{00000000-0005-0000-0000-000062000000}"/>
    <cellStyle name="ปกติ 3 2 29" xfId="91" xr:uid="{00000000-0005-0000-0000-000063000000}"/>
    <cellStyle name="ปกติ 3 2 3" xfId="92" xr:uid="{00000000-0005-0000-0000-000064000000}"/>
    <cellStyle name="ปกติ 3 2 30" xfId="93" xr:uid="{00000000-0005-0000-0000-000065000000}"/>
    <cellStyle name="ปกติ 3 2 31" xfId="94" xr:uid="{00000000-0005-0000-0000-000066000000}"/>
    <cellStyle name="ปกติ 3 2 32" xfId="95" xr:uid="{00000000-0005-0000-0000-000067000000}"/>
    <cellStyle name="ปกติ 3 2 33" xfId="96" xr:uid="{00000000-0005-0000-0000-000068000000}"/>
    <cellStyle name="ปกติ 3 2 34" xfId="97" xr:uid="{00000000-0005-0000-0000-000069000000}"/>
    <cellStyle name="ปกติ 3 2 35" xfId="98" xr:uid="{00000000-0005-0000-0000-00006A000000}"/>
    <cellStyle name="ปกติ 3 2 36" xfId="99" xr:uid="{00000000-0005-0000-0000-00006B000000}"/>
    <cellStyle name="ปกติ 3 2 37" xfId="100" xr:uid="{00000000-0005-0000-0000-00006C000000}"/>
    <cellStyle name="ปกติ 3 2 38" xfId="101" xr:uid="{00000000-0005-0000-0000-00006D000000}"/>
    <cellStyle name="ปกติ 3 2 39" xfId="102" xr:uid="{00000000-0005-0000-0000-00006E000000}"/>
    <cellStyle name="ปกติ 3 2 4" xfId="103" xr:uid="{00000000-0005-0000-0000-00006F000000}"/>
    <cellStyle name="ปกติ 3 2 40" xfId="104" xr:uid="{00000000-0005-0000-0000-000070000000}"/>
    <cellStyle name="ปกติ 3 2 41" xfId="105" xr:uid="{00000000-0005-0000-0000-000071000000}"/>
    <cellStyle name="ปกติ 3 2 42" xfId="106" xr:uid="{00000000-0005-0000-0000-000072000000}"/>
    <cellStyle name="ปกติ 3 2 43" xfId="107" xr:uid="{00000000-0005-0000-0000-000073000000}"/>
    <cellStyle name="ปกติ 3 2 44" xfId="108" xr:uid="{00000000-0005-0000-0000-000074000000}"/>
    <cellStyle name="ปกติ 3 2 45" xfId="109" xr:uid="{00000000-0005-0000-0000-000075000000}"/>
    <cellStyle name="ปกติ 3 2 5" xfId="110" xr:uid="{00000000-0005-0000-0000-000076000000}"/>
    <cellStyle name="ปกติ 3 2 6" xfId="111" xr:uid="{00000000-0005-0000-0000-000077000000}"/>
    <cellStyle name="ปกติ 3 2 7" xfId="112" xr:uid="{00000000-0005-0000-0000-000078000000}"/>
    <cellStyle name="ปกติ 3 2 8" xfId="113" xr:uid="{00000000-0005-0000-0000-000079000000}"/>
    <cellStyle name="ปกติ 3 2 9" xfId="114" xr:uid="{00000000-0005-0000-0000-00007A000000}"/>
    <cellStyle name="ปกติ 3 3" xfId="115" xr:uid="{00000000-0005-0000-0000-00007B000000}"/>
    <cellStyle name="ปกติ 3 4" xfId="116" xr:uid="{00000000-0005-0000-0000-00007C000000}"/>
    <cellStyle name="ปกติ 4" xfId="117" xr:uid="{00000000-0005-0000-0000-00007D000000}"/>
    <cellStyle name="ปกติ 5" xfId="118" xr:uid="{00000000-0005-0000-0000-00007E000000}"/>
    <cellStyle name="ปกติ 5 10" xfId="119" xr:uid="{00000000-0005-0000-0000-00007F000000}"/>
    <cellStyle name="ปกติ 5 11" xfId="120" xr:uid="{00000000-0005-0000-0000-000080000000}"/>
    <cellStyle name="ปกติ 5 12" xfId="121" xr:uid="{00000000-0005-0000-0000-000081000000}"/>
    <cellStyle name="ปกติ 5 13" xfId="122" xr:uid="{00000000-0005-0000-0000-000082000000}"/>
    <cellStyle name="ปกติ 5 14" xfId="123" xr:uid="{00000000-0005-0000-0000-000083000000}"/>
    <cellStyle name="ปกติ 5 15" xfId="124" xr:uid="{00000000-0005-0000-0000-000084000000}"/>
    <cellStyle name="ปกติ 5 16" xfId="125" xr:uid="{00000000-0005-0000-0000-000085000000}"/>
    <cellStyle name="ปกติ 5 17" xfId="126" xr:uid="{00000000-0005-0000-0000-000086000000}"/>
    <cellStyle name="ปกติ 5 18" xfId="127" xr:uid="{00000000-0005-0000-0000-000087000000}"/>
    <cellStyle name="ปกติ 5 19" xfId="128" xr:uid="{00000000-0005-0000-0000-000088000000}"/>
    <cellStyle name="ปกติ 5 2" xfId="129" xr:uid="{00000000-0005-0000-0000-000089000000}"/>
    <cellStyle name="ปกติ 5 20" xfId="130" xr:uid="{00000000-0005-0000-0000-00008A000000}"/>
    <cellStyle name="ปกติ 5 21" xfId="131" xr:uid="{00000000-0005-0000-0000-00008B000000}"/>
    <cellStyle name="ปกติ 5 22" xfId="132" xr:uid="{00000000-0005-0000-0000-00008C000000}"/>
    <cellStyle name="ปกติ 5 23" xfId="133" xr:uid="{00000000-0005-0000-0000-00008D000000}"/>
    <cellStyle name="ปกติ 5 24" xfId="134" xr:uid="{00000000-0005-0000-0000-00008E000000}"/>
    <cellStyle name="ปกติ 5 25" xfId="135" xr:uid="{00000000-0005-0000-0000-00008F000000}"/>
    <cellStyle name="ปกติ 5 26" xfId="136" xr:uid="{00000000-0005-0000-0000-000090000000}"/>
    <cellStyle name="ปกติ 5 27" xfId="137" xr:uid="{00000000-0005-0000-0000-000091000000}"/>
    <cellStyle name="ปกติ 5 28" xfId="138" xr:uid="{00000000-0005-0000-0000-000092000000}"/>
    <cellStyle name="ปกติ 5 29" xfId="139" xr:uid="{00000000-0005-0000-0000-000093000000}"/>
    <cellStyle name="ปกติ 5 3" xfId="140" xr:uid="{00000000-0005-0000-0000-000094000000}"/>
    <cellStyle name="ปกติ 5 30" xfId="141" xr:uid="{00000000-0005-0000-0000-000095000000}"/>
    <cellStyle name="ปกติ 5 31" xfId="142" xr:uid="{00000000-0005-0000-0000-000096000000}"/>
    <cellStyle name="ปกติ 5 32" xfId="143" xr:uid="{00000000-0005-0000-0000-000097000000}"/>
    <cellStyle name="ปกติ 5 33" xfId="144" xr:uid="{00000000-0005-0000-0000-000098000000}"/>
    <cellStyle name="ปกติ 5 34" xfId="145" xr:uid="{00000000-0005-0000-0000-000099000000}"/>
    <cellStyle name="ปกติ 5 35" xfId="146" xr:uid="{00000000-0005-0000-0000-00009A000000}"/>
    <cellStyle name="ปกติ 5 36" xfId="147" xr:uid="{00000000-0005-0000-0000-00009B000000}"/>
    <cellStyle name="ปกติ 5 37" xfId="148" xr:uid="{00000000-0005-0000-0000-00009C000000}"/>
    <cellStyle name="ปกติ 5 38" xfId="149" xr:uid="{00000000-0005-0000-0000-00009D000000}"/>
    <cellStyle name="ปกติ 5 39" xfId="150" xr:uid="{00000000-0005-0000-0000-00009E000000}"/>
    <cellStyle name="ปกติ 5 4" xfId="151" xr:uid="{00000000-0005-0000-0000-00009F000000}"/>
    <cellStyle name="ปกติ 5 40" xfId="152" xr:uid="{00000000-0005-0000-0000-0000A0000000}"/>
    <cellStyle name="ปกติ 5 41" xfId="153" xr:uid="{00000000-0005-0000-0000-0000A1000000}"/>
    <cellStyle name="ปกติ 5 42" xfId="154" xr:uid="{00000000-0005-0000-0000-0000A2000000}"/>
    <cellStyle name="ปกติ 5 43" xfId="155" xr:uid="{00000000-0005-0000-0000-0000A3000000}"/>
    <cellStyle name="ปกติ 5 44" xfId="156" xr:uid="{00000000-0005-0000-0000-0000A4000000}"/>
    <cellStyle name="ปกติ 5 45" xfId="157" xr:uid="{00000000-0005-0000-0000-0000A5000000}"/>
    <cellStyle name="ปกติ 5 5" xfId="158" xr:uid="{00000000-0005-0000-0000-0000A6000000}"/>
    <cellStyle name="ปกติ 5 6" xfId="159" xr:uid="{00000000-0005-0000-0000-0000A7000000}"/>
    <cellStyle name="ปกติ 5 7" xfId="160" xr:uid="{00000000-0005-0000-0000-0000A8000000}"/>
    <cellStyle name="ปกติ 5 8" xfId="161" xr:uid="{00000000-0005-0000-0000-0000A9000000}"/>
    <cellStyle name="ปกติ 5 9" xfId="162" xr:uid="{00000000-0005-0000-0000-0000AA000000}"/>
    <cellStyle name="ปกติ 6" xfId="163" xr:uid="{00000000-0005-0000-0000-0000AB000000}"/>
    <cellStyle name="ปกติ 6 2" xfId="164" xr:uid="{00000000-0005-0000-0000-0000AC000000}"/>
    <cellStyle name="ปกติ 7" xfId="165" xr:uid="{00000000-0005-0000-0000-0000AD000000}"/>
    <cellStyle name="ปกติ 8" xfId="166" xr:uid="{00000000-0005-0000-0000-0000AE000000}"/>
    <cellStyle name="ปกติ 8 2" xfId="167" xr:uid="{00000000-0005-0000-0000-0000AF000000}"/>
    <cellStyle name="ปกติ 9" xfId="169" xr:uid="{00000000-0005-0000-0000-0000B0000000}"/>
    <cellStyle name="แย่_Sheet1" xfId="168" xr:uid="{00000000-0005-0000-0000-0000B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CC"/>
  </sheetPr>
  <dimension ref="B1:E11"/>
  <sheetViews>
    <sheetView zoomScaleNormal="100" workbookViewId="0">
      <selection activeCell="C10" sqref="C10"/>
    </sheetView>
  </sheetViews>
  <sheetFormatPr defaultColWidth="13" defaultRowHeight="27" x14ac:dyDescent="0.75"/>
  <cols>
    <col min="1" max="1" width="13" style="1"/>
    <col min="2" max="2" width="19.09765625" style="1" bestFit="1" customWidth="1"/>
    <col min="3" max="3" width="17.69921875" style="1" customWidth="1"/>
    <col min="4" max="16384" width="13" style="1"/>
  </cols>
  <sheetData>
    <row r="1" spans="2:5" ht="27.6" thickBot="1" x14ac:dyDescent="0.8"/>
    <row r="2" spans="2:5" ht="27.6" thickBot="1" x14ac:dyDescent="0.8">
      <c r="B2" s="123" t="s">
        <v>0</v>
      </c>
      <c r="C2" s="124"/>
      <c r="E2" s="8"/>
    </row>
    <row r="3" spans="2:5" ht="28.8" x14ac:dyDescent="0.75">
      <c r="B3" s="5" t="s">
        <v>1</v>
      </c>
      <c r="C3" s="2">
        <v>1</v>
      </c>
      <c r="E3" s="9"/>
    </row>
    <row r="4" spans="2:5" ht="28.8" x14ac:dyDescent="0.75">
      <c r="B4" s="6" t="s">
        <v>2</v>
      </c>
      <c r="C4" s="3">
        <v>2026</v>
      </c>
      <c r="E4" s="10"/>
    </row>
    <row r="5" spans="2:5" ht="28.8" x14ac:dyDescent="0.75">
      <c r="B5" s="43" t="s">
        <v>3</v>
      </c>
      <c r="C5" s="44" t="s">
        <v>31</v>
      </c>
      <c r="E5" s="10"/>
    </row>
    <row r="6" spans="2:5" ht="29.4" thickBot="1" x14ac:dyDescent="0.8">
      <c r="B6" s="7" t="s">
        <v>4</v>
      </c>
      <c r="C6" s="4" t="s">
        <v>5</v>
      </c>
    </row>
    <row r="7" spans="2:5" ht="27.6" thickBot="1" x14ac:dyDescent="0.8">
      <c r="B7" s="14" t="s">
        <v>6</v>
      </c>
      <c r="C7" s="15" t="s">
        <v>7</v>
      </c>
    </row>
    <row r="8" spans="2:5" ht="29.4" thickBot="1" x14ac:dyDescent="0.8">
      <c r="B8" s="12" t="s">
        <v>8</v>
      </c>
      <c r="C8" s="13" t="s">
        <v>33</v>
      </c>
    </row>
    <row r="9" spans="2:5" ht="29.4" thickBot="1" x14ac:dyDescent="0.8">
      <c r="B9" s="12" t="s">
        <v>9</v>
      </c>
      <c r="C9" s="13" t="s">
        <v>29</v>
      </c>
    </row>
    <row r="10" spans="2:5" ht="29.4" thickBot="1" x14ac:dyDescent="0.8">
      <c r="B10" s="12" t="s">
        <v>10</v>
      </c>
      <c r="C10" s="13" t="s">
        <v>30</v>
      </c>
    </row>
    <row r="11" spans="2:5" ht="29.4" thickBot="1" x14ac:dyDescent="0.8">
      <c r="B11" s="12" t="s">
        <v>11</v>
      </c>
      <c r="C11" s="13" t="s">
        <v>30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fitToPage="1"/>
  </sheetPr>
  <dimension ref="A1:W55"/>
  <sheetViews>
    <sheetView view="pageBreakPreview" topLeftCell="A2" zoomScaleNormal="100" zoomScaleSheetLayoutView="100" zoomScalePageLayoutView="120" workbookViewId="0">
      <selection activeCell="B10" sqref="B10:D11"/>
    </sheetView>
  </sheetViews>
  <sheetFormatPr defaultColWidth="9.09765625" defaultRowHeight="23.4" x14ac:dyDescent="0.25"/>
  <cols>
    <col min="1" max="1" width="3.8984375" style="19" customWidth="1"/>
    <col min="2" max="2" width="8.19921875" style="19" customWidth="1"/>
    <col min="3" max="3" width="15.69921875" style="34" customWidth="1"/>
    <col min="4" max="4" width="18.19921875" style="35" customWidth="1"/>
    <col min="5" max="9" width="5.8984375" style="19" customWidth="1"/>
    <col min="10" max="11" width="5.8984375" style="36" customWidth="1"/>
    <col min="12" max="12" width="6.3984375" style="19" customWidth="1"/>
    <col min="13" max="13" width="5.8984375" style="19" customWidth="1"/>
    <col min="14" max="15" width="6" style="19" customWidth="1"/>
    <col min="16" max="21" width="5.8984375" style="19" customWidth="1"/>
    <col min="22" max="22" width="5.69921875" style="19" customWidth="1"/>
    <col min="23" max="23" width="3.19921875" style="19" customWidth="1"/>
    <col min="24" max="16384" width="9.09765625" style="19"/>
  </cols>
  <sheetData>
    <row r="1" spans="1:23" ht="22.5" customHeight="1" x14ac:dyDescent="0.25">
      <c r="A1" s="21"/>
      <c r="B1" s="21"/>
      <c r="C1" s="22"/>
      <c r="D1" s="135" t="s">
        <v>12</v>
      </c>
      <c r="E1" s="135"/>
      <c r="F1" s="23">
        <f>INFO!C3</f>
        <v>1</v>
      </c>
      <c r="G1" s="23"/>
      <c r="H1" s="23"/>
      <c r="I1" s="21" t="s">
        <v>13</v>
      </c>
      <c r="J1" s="21"/>
      <c r="K1" s="21"/>
      <c r="L1" s="23">
        <f>INFO!C4</f>
        <v>2026</v>
      </c>
      <c r="M1" s="24"/>
      <c r="N1" s="21"/>
      <c r="O1" s="21"/>
      <c r="P1" s="21"/>
      <c r="Q1" s="21"/>
      <c r="R1" s="21"/>
      <c r="S1" s="21"/>
      <c r="T1" s="21"/>
      <c r="U1" s="21"/>
    </row>
    <row r="2" spans="1:23" ht="19.5" customHeight="1" x14ac:dyDescent="0.25">
      <c r="A2" s="21"/>
      <c r="B2" s="21"/>
      <c r="C2" s="25" t="s">
        <v>7</v>
      </c>
      <c r="D2" s="23" t="str">
        <f>INFO!C8</f>
        <v>Mr.Rodrigo</v>
      </c>
      <c r="E2" s="21" t="s">
        <v>6</v>
      </c>
      <c r="F2" s="42"/>
      <c r="G2" s="58" t="str">
        <f>INFO!B8</f>
        <v>Mathematics</v>
      </c>
      <c r="H2" s="59"/>
      <c r="I2" s="26" t="str">
        <f>INFO!C6</f>
        <v>Bilingual Program</v>
      </c>
      <c r="J2" s="21"/>
      <c r="K2" s="21"/>
      <c r="L2" s="21"/>
      <c r="M2" s="21" t="s">
        <v>3</v>
      </c>
      <c r="N2" s="26" t="str">
        <f>INFO!C5</f>
        <v>P.1/3</v>
      </c>
      <c r="O2" s="26"/>
      <c r="P2" s="26"/>
      <c r="Q2" s="21"/>
      <c r="R2" s="21"/>
      <c r="S2" s="21"/>
      <c r="T2" s="21"/>
      <c r="U2" s="21"/>
    </row>
    <row r="3" spans="1:23" ht="9" customHeight="1" x14ac:dyDescent="0.25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</row>
    <row r="4" spans="1:23" ht="24" customHeight="1" x14ac:dyDescent="0.25">
      <c r="A4" s="136" t="s">
        <v>14</v>
      </c>
      <c r="B4" s="126" t="s">
        <v>15</v>
      </c>
      <c r="C4" s="126"/>
      <c r="D4" s="126"/>
      <c r="E4" s="126" t="s">
        <v>16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</row>
    <row r="5" spans="1:23" ht="40.5" customHeight="1" x14ac:dyDescent="0.25">
      <c r="A5" s="137"/>
      <c r="B5" s="126"/>
      <c r="C5" s="126"/>
      <c r="D5" s="126"/>
      <c r="E5" s="127" t="s">
        <v>17</v>
      </c>
      <c r="F5" s="127"/>
      <c r="G5" s="127"/>
      <c r="H5" s="127"/>
      <c r="I5" s="131" t="s">
        <v>18</v>
      </c>
      <c r="J5" s="131" t="s">
        <v>19</v>
      </c>
      <c r="K5" s="139" t="s">
        <v>20</v>
      </c>
      <c r="L5" s="140" t="s">
        <v>21</v>
      </c>
      <c r="M5" s="128" t="s">
        <v>17</v>
      </c>
      <c r="N5" s="128"/>
      <c r="O5" s="128"/>
      <c r="P5" s="129"/>
      <c r="Q5" s="133" t="s">
        <v>18</v>
      </c>
      <c r="R5" s="133" t="s">
        <v>22</v>
      </c>
      <c r="S5" s="143" t="s">
        <v>20</v>
      </c>
      <c r="T5" s="134" t="s">
        <v>23</v>
      </c>
      <c r="U5" s="133" t="s">
        <v>24</v>
      </c>
      <c r="V5" s="125" t="s">
        <v>32</v>
      </c>
    </row>
    <row r="6" spans="1:23" ht="27.9" customHeight="1" x14ac:dyDescent="0.25">
      <c r="A6" s="137"/>
      <c r="B6" s="126"/>
      <c r="C6" s="126"/>
      <c r="D6" s="126"/>
      <c r="E6" s="27"/>
      <c r="F6" s="28"/>
      <c r="G6" s="28"/>
      <c r="H6" s="29"/>
      <c r="I6" s="138"/>
      <c r="J6" s="131"/>
      <c r="K6" s="139"/>
      <c r="L6" s="140"/>
      <c r="M6" s="28"/>
      <c r="N6" s="28"/>
      <c r="O6" s="28"/>
      <c r="P6" s="28"/>
      <c r="Q6" s="133"/>
      <c r="R6" s="133"/>
      <c r="S6" s="143"/>
      <c r="T6" s="134"/>
      <c r="U6" s="133"/>
      <c r="V6" s="125"/>
    </row>
    <row r="7" spans="1:23" ht="27.9" customHeight="1" x14ac:dyDescent="0.25">
      <c r="A7" s="137"/>
      <c r="B7" s="126"/>
      <c r="C7" s="126"/>
      <c r="D7" s="126"/>
      <c r="E7" s="130" t="s">
        <v>25</v>
      </c>
      <c r="F7" s="130" t="s">
        <v>26</v>
      </c>
      <c r="G7" s="130" t="s">
        <v>27</v>
      </c>
      <c r="H7" s="130" t="s">
        <v>28</v>
      </c>
      <c r="I7" s="131"/>
      <c r="J7" s="131"/>
      <c r="K7" s="139"/>
      <c r="L7" s="140"/>
      <c r="M7" s="144" t="s">
        <v>25</v>
      </c>
      <c r="N7" s="132" t="s">
        <v>26</v>
      </c>
      <c r="O7" s="132" t="s">
        <v>27</v>
      </c>
      <c r="P7" s="141" t="s">
        <v>28</v>
      </c>
      <c r="Q7" s="133"/>
      <c r="R7" s="133"/>
      <c r="S7" s="143"/>
      <c r="T7" s="134"/>
      <c r="U7" s="133"/>
      <c r="V7" s="125"/>
    </row>
    <row r="8" spans="1:23" ht="21" customHeight="1" x14ac:dyDescent="0.25">
      <c r="A8" s="137"/>
      <c r="B8" s="126"/>
      <c r="C8" s="126"/>
      <c r="D8" s="126"/>
      <c r="E8" s="131"/>
      <c r="F8" s="131"/>
      <c r="G8" s="131"/>
      <c r="H8" s="131"/>
      <c r="I8" s="131"/>
      <c r="J8" s="131"/>
      <c r="K8" s="139"/>
      <c r="L8" s="140"/>
      <c r="M8" s="145"/>
      <c r="N8" s="133"/>
      <c r="O8" s="133"/>
      <c r="P8" s="142"/>
      <c r="Q8" s="133"/>
      <c r="R8" s="133"/>
      <c r="S8" s="143"/>
      <c r="T8" s="134"/>
      <c r="U8" s="133"/>
      <c r="V8" s="125"/>
    </row>
    <row r="9" spans="1:23" ht="20.100000000000001" customHeight="1" x14ac:dyDescent="0.25">
      <c r="A9" s="137"/>
      <c r="B9" s="126"/>
      <c r="C9" s="126"/>
      <c r="D9" s="126"/>
      <c r="E9" s="38">
        <v>10</v>
      </c>
      <c r="F9" s="38">
        <v>10</v>
      </c>
      <c r="G9" s="38">
        <v>10</v>
      </c>
      <c r="H9" s="38">
        <v>5</v>
      </c>
      <c r="I9" s="16">
        <f>SUM(E9:F9:G9:H9)</f>
        <v>35</v>
      </c>
      <c r="J9" s="40">
        <v>15</v>
      </c>
      <c r="K9" s="41">
        <v>10</v>
      </c>
      <c r="L9" s="57">
        <f>SUM(I9:J9)</f>
        <v>50</v>
      </c>
      <c r="M9" s="37">
        <v>10</v>
      </c>
      <c r="N9" s="30">
        <v>10</v>
      </c>
      <c r="O9" s="30">
        <v>10</v>
      </c>
      <c r="P9" s="30">
        <v>5</v>
      </c>
      <c r="Q9" s="31">
        <f>SUM(M9:P9)</f>
        <v>35</v>
      </c>
      <c r="R9" s="32">
        <v>15</v>
      </c>
      <c r="S9" s="11">
        <v>10</v>
      </c>
      <c r="T9" s="33">
        <f>SUM(Q9:R9)</f>
        <v>50</v>
      </c>
      <c r="U9" s="73">
        <f>SUM(L9,T9)</f>
        <v>100</v>
      </c>
      <c r="V9" s="125"/>
    </row>
    <row r="10" spans="1:23" ht="24" customHeight="1" x14ac:dyDescent="0.6">
      <c r="A10" s="17">
        <v>1</v>
      </c>
      <c r="B10" s="65">
        <v>12345</v>
      </c>
      <c r="C10" s="84" t="s">
        <v>34</v>
      </c>
      <c r="D10" s="45" t="s">
        <v>35</v>
      </c>
      <c r="E10" s="52">
        <v>10</v>
      </c>
      <c r="F10" s="48">
        <v>10</v>
      </c>
      <c r="G10" s="46">
        <v>10</v>
      </c>
      <c r="H10" s="46">
        <v>5</v>
      </c>
      <c r="I10" s="16">
        <f>SUM(E10:F10:G10:H10)</f>
        <v>35</v>
      </c>
      <c r="J10" s="71">
        <v>11</v>
      </c>
      <c r="K10" s="20"/>
      <c r="L10" s="57">
        <f t="shared" ref="L10:L38" si="0">SUM(I10:J10)</f>
        <v>46</v>
      </c>
      <c r="M10" s="92">
        <v>10</v>
      </c>
      <c r="N10" s="92">
        <v>10</v>
      </c>
      <c r="O10" s="92">
        <v>10</v>
      </c>
      <c r="P10" s="92">
        <v>5</v>
      </c>
      <c r="Q10" s="31">
        <f t="shared" ref="Q10:Q38" si="1">SUM(M10:P10)</f>
        <v>35</v>
      </c>
      <c r="R10" s="74"/>
      <c r="S10" s="20"/>
      <c r="T10" s="33"/>
      <c r="U10" s="73"/>
      <c r="V10" s="93">
        <f>IF(U11&gt;=80,4,
IF(U11&gt;=75,3.5,
IF(U11&gt;=70,3,
IF(U11&gt;=65,2.5,
IF(U11&gt;=60,2,
IF(U11&gt;=55,1.5,
IF(U11&gt;=50,1,0)))))))</f>
        <v>0</v>
      </c>
      <c r="W10" s="18"/>
    </row>
    <row r="11" spans="1:23" ht="24" customHeight="1" x14ac:dyDescent="0.6">
      <c r="A11" s="17">
        <v>2</v>
      </c>
      <c r="B11" s="65">
        <v>12346</v>
      </c>
      <c r="C11" s="84" t="s">
        <v>36</v>
      </c>
      <c r="D11" s="45" t="s">
        <v>37</v>
      </c>
      <c r="E11" s="53">
        <v>10</v>
      </c>
      <c r="F11" s="48">
        <v>8</v>
      </c>
      <c r="G11" s="46">
        <v>8</v>
      </c>
      <c r="H11" s="46">
        <v>5</v>
      </c>
      <c r="I11" s="16">
        <f>SUM(E11:F11:G11:H11)</f>
        <v>31</v>
      </c>
      <c r="J11" s="71">
        <v>11</v>
      </c>
      <c r="K11" s="20"/>
      <c r="L11" s="57">
        <f t="shared" si="0"/>
        <v>42</v>
      </c>
      <c r="M11" s="92">
        <v>8</v>
      </c>
      <c r="N11" s="92">
        <v>9</v>
      </c>
      <c r="O11" s="92">
        <v>8</v>
      </c>
      <c r="P11" s="92">
        <v>5</v>
      </c>
      <c r="Q11" s="31">
        <f t="shared" si="1"/>
        <v>30</v>
      </c>
      <c r="R11" s="74"/>
      <c r="S11" s="20"/>
      <c r="T11" s="33"/>
      <c r="U11" s="73"/>
      <c r="V11" s="93">
        <f t="shared" ref="V11:V55" si="2">IF(U12&gt;=80,4,
IF(U12&gt;=75,3.5,
IF(U12&gt;=70,3,
IF(U12&gt;=65,2.5,
IF(U12&gt;=60,2,
IF(U12&gt;=55,1.5,
IF(U12&gt;=50,1,0)))))))</f>
        <v>0</v>
      </c>
      <c r="W11" s="18"/>
    </row>
    <row r="12" spans="1:23" ht="24" customHeight="1" x14ac:dyDescent="0.6">
      <c r="A12" s="17">
        <v>3</v>
      </c>
      <c r="B12" s="65"/>
      <c r="C12" s="84"/>
      <c r="D12" s="45"/>
      <c r="E12" s="53">
        <v>10</v>
      </c>
      <c r="F12" s="48">
        <v>10</v>
      </c>
      <c r="G12" s="46">
        <v>10</v>
      </c>
      <c r="H12" s="46">
        <v>5</v>
      </c>
      <c r="I12" s="16">
        <f>SUM(E12:F12:G12:H12)</f>
        <v>35</v>
      </c>
      <c r="J12" s="71">
        <v>11</v>
      </c>
      <c r="K12" s="20"/>
      <c r="L12" s="57">
        <f t="shared" si="0"/>
        <v>46</v>
      </c>
      <c r="M12" s="92">
        <v>8</v>
      </c>
      <c r="N12" s="92">
        <v>9</v>
      </c>
      <c r="O12" s="92">
        <v>8</v>
      </c>
      <c r="P12" s="92">
        <v>5</v>
      </c>
      <c r="Q12" s="31">
        <f t="shared" si="1"/>
        <v>30</v>
      </c>
      <c r="R12" s="74"/>
      <c r="S12" s="20"/>
      <c r="T12" s="33"/>
      <c r="U12" s="73"/>
      <c r="V12" s="93">
        <f t="shared" si="2"/>
        <v>0</v>
      </c>
      <c r="W12" s="18"/>
    </row>
    <row r="13" spans="1:23" ht="24" customHeight="1" x14ac:dyDescent="0.6">
      <c r="A13" s="17">
        <v>4</v>
      </c>
      <c r="B13" s="65"/>
      <c r="C13" s="84"/>
      <c r="D13" s="45"/>
      <c r="E13" s="53">
        <v>10</v>
      </c>
      <c r="F13" s="48">
        <v>8</v>
      </c>
      <c r="G13" s="46">
        <v>8</v>
      </c>
      <c r="H13" s="46">
        <v>5</v>
      </c>
      <c r="I13" s="16">
        <f>SUM(E13:F13:G13:H13)</f>
        <v>31</v>
      </c>
      <c r="J13" s="71">
        <v>12</v>
      </c>
      <c r="K13" s="20"/>
      <c r="L13" s="57">
        <f t="shared" si="0"/>
        <v>43</v>
      </c>
      <c r="M13" s="92">
        <v>9</v>
      </c>
      <c r="N13" s="92">
        <v>8</v>
      </c>
      <c r="O13" s="92">
        <v>8</v>
      </c>
      <c r="P13" s="92">
        <v>5</v>
      </c>
      <c r="Q13" s="31">
        <f t="shared" si="1"/>
        <v>30</v>
      </c>
      <c r="R13" s="74"/>
      <c r="S13" s="20"/>
      <c r="T13" s="33"/>
      <c r="U13" s="73"/>
      <c r="V13" s="93">
        <f t="shared" si="2"/>
        <v>0</v>
      </c>
      <c r="W13" s="18"/>
    </row>
    <row r="14" spans="1:23" ht="24" customHeight="1" x14ac:dyDescent="0.6">
      <c r="A14" s="17">
        <v>5</v>
      </c>
      <c r="B14" s="65"/>
      <c r="C14" s="84"/>
      <c r="D14" s="45"/>
      <c r="E14" s="53">
        <v>10</v>
      </c>
      <c r="F14" s="48">
        <v>10</v>
      </c>
      <c r="G14" s="46">
        <v>10</v>
      </c>
      <c r="H14" s="46">
        <v>5</v>
      </c>
      <c r="I14" s="16">
        <f>SUM(E14:F14:G14:H14)</f>
        <v>35</v>
      </c>
      <c r="J14" s="71">
        <v>14</v>
      </c>
      <c r="K14" s="20"/>
      <c r="L14" s="57">
        <f t="shared" si="0"/>
        <v>49</v>
      </c>
      <c r="M14" s="92">
        <v>9</v>
      </c>
      <c r="N14" s="92">
        <v>9</v>
      </c>
      <c r="O14" s="92">
        <v>8</v>
      </c>
      <c r="P14" s="92">
        <v>5</v>
      </c>
      <c r="Q14" s="31">
        <f t="shared" si="1"/>
        <v>31</v>
      </c>
      <c r="R14" s="74"/>
      <c r="S14" s="20"/>
      <c r="T14" s="33"/>
      <c r="U14" s="73"/>
      <c r="V14" s="93">
        <f t="shared" si="2"/>
        <v>0</v>
      </c>
      <c r="W14" s="18"/>
    </row>
    <row r="15" spans="1:23" ht="24" customHeight="1" x14ac:dyDescent="0.6">
      <c r="A15" s="17">
        <v>6</v>
      </c>
      <c r="B15" s="66"/>
      <c r="C15" s="85"/>
      <c r="D15" s="55"/>
      <c r="E15" s="53">
        <v>9</v>
      </c>
      <c r="F15" s="48">
        <v>8</v>
      </c>
      <c r="G15" s="46">
        <v>8</v>
      </c>
      <c r="H15" s="46">
        <v>5</v>
      </c>
      <c r="I15" s="16">
        <f>SUM(E15:F15:G15:H15)</f>
        <v>30</v>
      </c>
      <c r="J15" s="71">
        <v>12</v>
      </c>
      <c r="K15" s="20"/>
      <c r="L15" s="57">
        <f t="shared" si="0"/>
        <v>42</v>
      </c>
      <c r="M15" s="92">
        <v>10</v>
      </c>
      <c r="N15" s="92">
        <v>10</v>
      </c>
      <c r="O15" s="92">
        <v>10</v>
      </c>
      <c r="P15" s="92">
        <v>5</v>
      </c>
      <c r="Q15" s="31">
        <f t="shared" si="1"/>
        <v>35</v>
      </c>
      <c r="R15" s="74"/>
      <c r="S15" s="20"/>
      <c r="T15" s="33"/>
      <c r="U15" s="73"/>
      <c r="V15" s="93">
        <f t="shared" si="2"/>
        <v>0</v>
      </c>
      <c r="W15" s="18"/>
    </row>
    <row r="16" spans="1:23" ht="24" customHeight="1" x14ac:dyDescent="0.6">
      <c r="A16" s="17">
        <v>7</v>
      </c>
      <c r="B16" s="65"/>
      <c r="C16" s="84"/>
      <c r="D16" s="45"/>
      <c r="E16" s="53">
        <v>10</v>
      </c>
      <c r="F16" s="48">
        <v>9</v>
      </c>
      <c r="G16" s="46">
        <v>9</v>
      </c>
      <c r="H16" s="46">
        <v>5</v>
      </c>
      <c r="I16" s="16">
        <f>SUM(E16:F16:G16:H16)</f>
        <v>33</v>
      </c>
      <c r="J16" s="71">
        <v>11</v>
      </c>
      <c r="K16" s="20"/>
      <c r="L16" s="57">
        <f t="shared" si="0"/>
        <v>44</v>
      </c>
      <c r="M16" s="92">
        <v>9</v>
      </c>
      <c r="N16" s="92">
        <v>10</v>
      </c>
      <c r="O16" s="92">
        <v>10</v>
      </c>
      <c r="P16" s="92">
        <v>5</v>
      </c>
      <c r="Q16" s="31">
        <f t="shared" si="1"/>
        <v>34</v>
      </c>
      <c r="R16" s="74"/>
      <c r="S16" s="20"/>
      <c r="T16" s="33"/>
      <c r="U16" s="73"/>
      <c r="V16" s="93">
        <f t="shared" si="2"/>
        <v>0</v>
      </c>
      <c r="W16" s="18"/>
    </row>
    <row r="17" spans="1:23" ht="24" customHeight="1" x14ac:dyDescent="0.6">
      <c r="A17" s="17">
        <v>8</v>
      </c>
      <c r="B17" s="65"/>
      <c r="C17" s="84"/>
      <c r="D17" s="45"/>
      <c r="E17" s="53">
        <v>10</v>
      </c>
      <c r="F17" s="48">
        <v>9</v>
      </c>
      <c r="G17" s="46">
        <v>9</v>
      </c>
      <c r="H17" s="46">
        <v>5</v>
      </c>
      <c r="I17" s="16">
        <f>SUM(E17:F17:G17:H17)</f>
        <v>33</v>
      </c>
      <c r="J17" s="71">
        <v>14</v>
      </c>
      <c r="K17" s="20"/>
      <c r="L17" s="57">
        <f t="shared" si="0"/>
        <v>47</v>
      </c>
      <c r="M17" s="92">
        <v>9</v>
      </c>
      <c r="N17" s="92">
        <v>8</v>
      </c>
      <c r="O17" s="92">
        <v>8</v>
      </c>
      <c r="P17" s="92">
        <v>5</v>
      </c>
      <c r="Q17" s="31">
        <f t="shared" si="1"/>
        <v>30</v>
      </c>
      <c r="R17" s="74"/>
      <c r="S17" s="20"/>
      <c r="T17" s="33"/>
      <c r="U17" s="73"/>
      <c r="V17" s="93">
        <f t="shared" si="2"/>
        <v>0</v>
      </c>
      <c r="W17" s="18"/>
    </row>
    <row r="18" spans="1:23" ht="24" customHeight="1" x14ac:dyDescent="0.6">
      <c r="A18" s="17">
        <v>9</v>
      </c>
      <c r="B18" s="65"/>
      <c r="C18" s="84"/>
      <c r="D18" s="45"/>
      <c r="E18" s="53">
        <v>10</v>
      </c>
      <c r="F18" s="48">
        <v>9</v>
      </c>
      <c r="G18" s="46">
        <v>9</v>
      </c>
      <c r="H18" s="46">
        <v>5</v>
      </c>
      <c r="I18" s="16">
        <f>SUM(E18:F18:G18:H18)</f>
        <v>33</v>
      </c>
      <c r="J18" s="71">
        <v>15</v>
      </c>
      <c r="K18" s="20"/>
      <c r="L18" s="57">
        <f t="shared" si="0"/>
        <v>48</v>
      </c>
      <c r="M18" s="92">
        <v>10</v>
      </c>
      <c r="N18" s="92">
        <v>10</v>
      </c>
      <c r="O18" s="92">
        <v>10</v>
      </c>
      <c r="P18" s="92">
        <v>5</v>
      </c>
      <c r="Q18" s="31">
        <f t="shared" si="1"/>
        <v>35</v>
      </c>
      <c r="R18" s="74"/>
      <c r="S18" s="20"/>
      <c r="T18" s="33"/>
      <c r="U18" s="73"/>
      <c r="V18" s="93">
        <f t="shared" si="2"/>
        <v>0</v>
      </c>
      <c r="W18" s="18"/>
    </row>
    <row r="19" spans="1:23" ht="24" customHeight="1" x14ac:dyDescent="0.6">
      <c r="A19" s="17">
        <v>10</v>
      </c>
      <c r="B19" s="65"/>
      <c r="C19" s="84"/>
      <c r="D19" s="45"/>
      <c r="E19" s="53">
        <v>9</v>
      </c>
      <c r="F19" s="48">
        <v>8</v>
      </c>
      <c r="G19" s="46">
        <v>8</v>
      </c>
      <c r="H19" s="46">
        <v>5</v>
      </c>
      <c r="I19" s="16">
        <f>SUM(E19:F19:G19:H19)</f>
        <v>30</v>
      </c>
      <c r="J19" s="71">
        <v>14</v>
      </c>
      <c r="K19" s="20"/>
      <c r="L19" s="57">
        <f t="shared" si="0"/>
        <v>44</v>
      </c>
      <c r="M19" s="92">
        <v>10</v>
      </c>
      <c r="N19" s="92">
        <v>10</v>
      </c>
      <c r="O19" s="92">
        <v>10</v>
      </c>
      <c r="P19" s="92">
        <v>5</v>
      </c>
      <c r="Q19" s="31">
        <f t="shared" si="1"/>
        <v>35</v>
      </c>
      <c r="R19" s="74"/>
      <c r="S19" s="20"/>
      <c r="T19" s="33"/>
      <c r="U19" s="73"/>
      <c r="V19" s="93">
        <f t="shared" si="2"/>
        <v>0</v>
      </c>
      <c r="W19" s="18"/>
    </row>
    <row r="20" spans="1:23" ht="24" customHeight="1" x14ac:dyDescent="0.6">
      <c r="A20" s="17">
        <v>11</v>
      </c>
      <c r="B20" s="65"/>
      <c r="C20" s="84"/>
      <c r="D20" s="45"/>
      <c r="E20" s="53">
        <v>10</v>
      </c>
      <c r="F20" s="48">
        <v>8</v>
      </c>
      <c r="G20" s="46">
        <v>8</v>
      </c>
      <c r="H20" s="46">
        <v>5</v>
      </c>
      <c r="I20" s="16">
        <f>SUM(E20:F20:G20:H20)</f>
        <v>31</v>
      </c>
      <c r="J20" s="71">
        <v>11</v>
      </c>
      <c r="K20" s="20"/>
      <c r="L20" s="57">
        <f t="shared" si="0"/>
        <v>42</v>
      </c>
      <c r="M20" s="92">
        <v>9</v>
      </c>
      <c r="N20" s="92">
        <v>8</v>
      </c>
      <c r="O20" s="92">
        <v>10</v>
      </c>
      <c r="P20" s="92">
        <v>5</v>
      </c>
      <c r="Q20" s="31">
        <f t="shared" si="1"/>
        <v>32</v>
      </c>
      <c r="R20" s="74"/>
      <c r="S20" s="20"/>
      <c r="T20" s="33"/>
      <c r="U20" s="73"/>
      <c r="V20" s="93">
        <f t="shared" si="2"/>
        <v>0</v>
      </c>
      <c r="W20" s="18"/>
    </row>
    <row r="21" spans="1:23" ht="24" customHeight="1" x14ac:dyDescent="0.6">
      <c r="A21" s="17">
        <v>12</v>
      </c>
      <c r="B21" s="65"/>
      <c r="C21" s="84"/>
      <c r="D21" s="45"/>
      <c r="E21" s="53">
        <v>10</v>
      </c>
      <c r="F21" s="48">
        <v>8</v>
      </c>
      <c r="G21" s="46">
        <v>8</v>
      </c>
      <c r="H21" s="46">
        <v>5</v>
      </c>
      <c r="I21" s="16">
        <f>SUM(E21:F21:G21:H21)</f>
        <v>31</v>
      </c>
      <c r="J21" s="71">
        <v>14</v>
      </c>
      <c r="K21" s="20"/>
      <c r="L21" s="57">
        <f t="shared" si="0"/>
        <v>45</v>
      </c>
      <c r="M21" s="92">
        <v>10</v>
      </c>
      <c r="N21" s="92">
        <v>10</v>
      </c>
      <c r="O21" s="92">
        <v>10</v>
      </c>
      <c r="P21" s="92">
        <v>5</v>
      </c>
      <c r="Q21" s="31">
        <f t="shared" si="1"/>
        <v>35</v>
      </c>
      <c r="R21" s="74"/>
      <c r="S21" s="20"/>
      <c r="T21" s="33"/>
      <c r="U21" s="73"/>
      <c r="V21" s="93">
        <f t="shared" si="2"/>
        <v>0</v>
      </c>
      <c r="W21" s="18"/>
    </row>
    <row r="22" spans="1:23" ht="24" customHeight="1" x14ac:dyDescent="0.6">
      <c r="A22" s="17">
        <v>13</v>
      </c>
      <c r="B22" s="65"/>
      <c r="C22" s="84"/>
      <c r="D22" s="45"/>
      <c r="E22" s="53">
        <v>10</v>
      </c>
      <c r="F22" s="48">
        <v>9</v>
      </c>
      <c r="G22" s="46">
        <v>9</v>
      </c>
      <c r="H22" s="46">
        <v>5</v>
      </c>
      <c r="I22" s="16">
        <f>SUM(E22:F22:G22:H22)</f>
        <v>33</v>
      </c>
      <c r="J22" s="71">
        <v>11</v>
      </c>
      <c r="K22" s="20"/>
      <c r="L22" s="57">
        <f t="shared" si="0"/>
        <v>44</v>
      </c>
      <c r="M22" s="92">
        <v>8</v>
      </c>
      <c r="N22" s="92">
        <v>9</v>
      </c>
      <c r="O22" s="92">
        <v>9</v>
      </c>
      <c r="P22" s="92">
        <v>5</v>
      </c>
      <c r="Q22" s="31">
        <f t="shared" si="1"/>
        <v>31</v>
      </c>
      <c r="R22" s="74"/>
      <c r="S22" s="20"/>
      <c r="T22" s="33"/>
      <c r="U22" s="73"/>
      <c r="V22" s="93">
        <f t="shared" si="2"/>
        <v>0</v>
      </c>
      <c r="W22" s="18"/>
    </row>
    <row r="23" spans="1:23" ht="24" customHeight="1" x14ac:dyDescent="0.6">
      <c r="A23" s="17">
        <v>14</v>
      </c>
      <c r="B23" s="65"/>
      <c r="C23" s="84"/>
      <c r="D23" s="45"/>
      <c r="E23" s="53">
        <v>10</v>
      </c>
      <c r="F23" s="48">
        <v>9</v>
      </c>
      <c r="G23" s="46">
        <v>9</v>
      </c>
      <c r="H23" s="46">
        <v>5</v>
      </c>
      <c r="I23" s="16">
        <f>SUM(E23:F23:G23:H23)</f>
        <v>33</v>
      </c>
      <c r="J23" s="71">
        <v>11</v>
      </c>
      <c r="K23" s="20"/>
      <c r="L23" s="57">
        <f t="shared" si="0"/>
        <v>44</v>
      </c>
      <c r="M23" s="92">
        <v>9</v>
      </c>
      <c r="N23" s="92">
        <v>9</v>
      </c>
      <c r="O23" s="92">
        <v>9</v>
      </c>
      <c r="P23" s="92">
        <v>5</v>
      </c>
      <c r="Q23" s="31">
        <f t="shared" si="1"/>
        <v>32</v>
      </c>
      <c r="R23" s="74"/>
      <c r="S23" s="20"/>
      <c r="T23" s="33"/>
      <c r="U23" s="73"/>
      <c r="V23" s="93">
        <f t="shared" si="2"/>
        <v>0</v>
      </c>
      <c r="W23" s="18"/>
    </row>
    <row r="24" spans="1:23" ht="24" customHeight="1" x14ac:dyDescent="0.6">
      <c r="A24" s="17">
        <v>15</v>
      </c>
      <c r="B24" s="65"/>
      <c r="C24" s="84"/>
      <c r="D24" s="45"/>
      <c r="E24" s="53">
        <v>10</v>
      </c>
      <c r="F24" s="48">
        <v>8</v>
      </c>
      <c r="G24" s="46">
        <v>8</v>
      </c>
      <c r="H24" s="46">
        <v>5</v>
      </c>
      <c r="I24" s="16">
        <f>SUM(E24:F24:G24:H24)</f>
        <v>31</v>
      </c>
      <c r="J24" s="71">
        <v>11</v>
      </c>
      <c r="K24" s="20"/>
      <c r="L24" s="57">
        <f t="shared" si="0"/>
        <v>42</v>
      </c>
      <c r="M24" s="92">
        <v>8</v>
      </c>
      <c r="N24" s="92">
        <v>8</v>
      </c>
      <c r="O24" s="92">
        <v>8</v>
      </c>
      <c r="P24" s="92">
        <v>5</v>
      </c>
      <c r="Q24" s="31">
        <f t="shared" si="1"/>
        <v>29</v>
      </c>
      <c r="R24" s="74"/>
      <c r="S24" s="20"/>
      <c r="T24" s="33"/>
      <c r="U24" s="73"/>
      <c r="V24" s="93">
        <f t="shared" si="2"/>
        <v>0</v>
      </c>
      <c r="W24" s="18"/>
    </row>
    <row r="25" spans="1:23" ht="24" customHeight="1" x14ac:dyDescent="0.6">
      <c r="A25" s="17">
        <v>16</v>
      </c>
      <c r="B25" s="65"/>
      <c r="C25" s="84"/>
      <c r="D25" s="45"/>
      <c r="E25" s="53">
        <v>10</v>
      </c>
      <c r="F25" s="48">
        <v>8</v>
      </c>
      <c r="G25" s="46">
        <v>8</v>
      </c>
      <c r="H25" s="46">
        <v>5</v>
      </c>
      <c r="I25" s="16">
        <f>SUM(E25:F25:G25:H25)</f>
        <v>31</v>
      </c>
      <c r="J25" s="71">
        <v>12</v>
      </c>
      <c r="K25" s="20"/>
      <c r="L25" s="57">
        <f t="shared" si="0"/>
        <v>43</v>
      </c>
      <c r="M25" s="92">
        <v>10</v>
      </c>
      <c r="N25" s="92">
        <v>10</v>
      </c>
      <c r="O25" s="92">
        <v>10</v>
      </c>
      <c r="P25" s="92">
        <v>5</v>
      </c>
      <c r="Q25" s="31">
        <f t="shared" si="1"/>
        <v>35</v>
      </c>
      <c r="R25" s="74"/>
      <c r="S25" s="20"/>
      <c r="T25" s="33"/>
      <c r="U25" s="73"/>
      <c r="V25" s="93">
        <f t="shared" si="2"/>
        <v>0</v>
      </c>
      <c r="W25" s="18"/>
    </row>
    <row r="26" spans="1:23" ht="24" customHeight="1" x14ac:dyDescent="0.6">
      <c r="A26" s="17">
        <v>17</v>
      </c>
      <c r="B26" s="65"/>
      <c r="C26" s="84"/>
      <c r="D26" s="45"/>
      <c r="E26" s="53">
        <v>10</v>
      </c>
      <c r="F26" s="48">
        <v>10</v>
      </c>
      <c r="G26" s="46">
        <v>10</v>
      </c>
      <c r="H26" s="46">
        <v>5</v>
      </c>
      <c r="I26" s="16">
        <f>SUM(E26:F26:G26:H26)</f>
        <v>35</v>
      </c>
      <c r="J26" s="71">
        <v>13</v>
      </c>
      <c r="K26" s="20"/>
      <c r="L26" s="57">
        <f t="shared" si="0"/>
        <v>48</v>
      </c>
      <c r="M26" s="92">
        <v>10</v>
      </c>
      <c r="N26" s="92">
        <v>10</v>
      </c>
      <c r="O26" s="92">
        <v>10</v>
      </c>
      <c r="P26" s="92">
        <v>5</v>
      </c>
      <c r="Q26" s="31">
        <f t="shared" si="1"/>
        <v>35</v>
      </c>
      <c r="R26" s="74"/>
      <c r="S26" s="20"/>
      <c r="T26" s="33"/>
      <c r="U26" s="73"/>
      <c r="V26" s="93">
        <f t="shared" si="2"/>
        <v>0</v>
      </c>
      <c r="W26" s="18"/>
    </row>
    <row r="27" spans="1:23" ht="24" customHeight="1" x14ac:dyDescent="0.6">
      <c r="A27" s="17">
        <v>18</v>
      </c>
      <c r="B27" s="65"/>
      <c r="C27" s="84"/>
      <c r="D27" s="45"/>
      <c r="E27" s="53">
        <v>10</v>
      </c>
      <c r="F27" s="48">
        <v>8</v>
      </c>
      <c r="G27" s="46">
        <v>8</v>
      </c>
      <c r="H27" s="46">
        <v>5</v>
      </c>
      <c r="I27" s="16">
        <f>SUM(E27:F27:G27:H27)</f>
        <v>31</v>
      </c>
      <c r="J27" s="71">
        <v>12</v>
      </c>
      <c r="K27" s="20"/>
      <c r="L27" s="57">
        <f t="shared" si="0"/>
        <v>43</v>
      </c>
      <c r="M27" s="92">
        <v>8</v>
      </c>
      <c r="N27" s="92">
        <v>8</v>
      </c>
      <c r="O27" s="92">
        <v>9</v>
      </c>
      <c r="P27" s="92">
        <v>5</v>
      </c>
      <c r="Q27" s="31">
        <f t="shared" si="1"/>
        <v>30</v>
      </c>
      <c r="R27" s="74"/>
      <c r="S27" s="20"/>
      <c r="T27" s="33"/>
      <c r="U27" s="73"/>
      <c r="V27" s="93">
        <f t="shared" si="2"/>
        <v>0</v>
      </c>
      <c r="W27" s="18"/>
    </row>
    <row r="28" spans="1:23" ht="24" customHeight="1" x14ac:dyDescent="0.6">
      <c r="A28" s="17">
        <v>19</v>
      </c>
      <c r="B28" s="65"/>
      <c r="C28" s="84"/>
      <c r="D28" s="45"/>
      <c r="E28" s="53">
        <v>10</v>
      </c>
      <c r="F28" s="48">
        <v>8</v>
      </c>
      <c r="G28" s="46">
        <v>8</v>
      </c>
      <c r="H28" s="46">
        <v>5</v>
      </c>
      <c r="I28" s="16">
        <f>SUM(E28:F28:G28:H28)</f>
        <v>31</v>
      </c>
      <c r="J28" s="71">
        <v>11</v>
      </c>
      <c r="K28" s="20"/>
      <c r="L28" s="57">
        <f t="shared" si="0"/>
        <v>42</v>
      </c>
      <c r="M28" s="92">
        <v>9</v>
      </c>
      <c r="N28" s="92">
        <v>10</v>
      </c>
      <c r="O28" s="92">
        <v>9</v>
      </c>
      <c r="P28" s="92">
        <v>5</v>
      </c>
      <c r="Q28" s="31">
        <f t="shared" si="1"/>
        <v>33</v>
      </c>
      <c r="R28" s="74"/>
      <c r="S28" s="20"/>
      <c r="T28" s="33"/>
      <c r="U28" s="73"/>
      <c r="V28" s="93">
        <f t="shared" si="2"/>
        <v>0</v>
      </c>
      <c r="W28" s="18"/>
    </row>
    <row r="29" spans="1:23" ht="24" customHeight="1" x14ac:dyDescent="0.6">
      <c r="A29" s="17">
        <v>20</v>
      </c>
      <c r="B29" s="65"/>
      <c r="C29" s="84"/>
      <c r="D29" s="45"/>
      <c r="E29" s="53">
        <v>10</v>
      </c>
      <c r="F29" s="48">
        <v>10</v>
      </c>
      <c r="G29" s="46">
        <v>10</v>
      </c>
      <c r="H29" s="46">
        <v>5</v>
      </c>
      <c r="I29" s="16">
        <f>SUM(E29:F29:G29:H29)</f>
        <v>35</v>
      </c>
      <c r="J29" s="71">
        <v>15</v>
      </c>
      <c r="K29" s="20"/>
      <c r="L29" s="57">
        <f t="shared" si="0"/>
        <v>50</v>
      </c>
      <c r="M29" s="92">
        <v>10</v>
      </c>
      <c r="N29" s="92">
        <v>10</v>
      </c>
      <c r="O29" s="92">
        <v>10</v>
      </c>
      <c r="P29" s="92">
        <v>5</v>
      </c>
      <c r="Q29" s="31">
        <f t="shared" si="1"/>
        <v>35</v>
      </c>
      <c r="R29" s="74"/>
      <c r="S29" s="20"/>
      <c r="T29" s="33"/>
      <c r="U29" s="73"/>
      <c r="V29" s="93">
        <f t="shared" si="2"/>
        <v>0</v>
      </c>
      <c r="W29" s="18"/>
    </row>
    <row r="30" spans="1:23" ht="24" customHeight="1" x14ac:dyDescent="0.6">
      <c r="A30" s="17">
        <v>21</v>
      </c>
      <c r="B30" s="67"/>
      <c r="C30" s="86"/>
      <c r="D30" s="49"/>
      <c r="E30" s="53">
        <v>9</v>
      </c>
      <c r="F30" s="48">
        <v>8</v>
      </c>
      <c r="G30" s="46">
        <v>8</v>
      </c>
      <c r="H30" s="46">
        <v>5</v>
      </c>
      <c r="I30" s="16">
        <f>SUM(E30:F30:G30:H30)</f>
        <v>30</v>
      </c>
      <c r="J30" s="71">
        <v>11</v>
      </c>
      <c r="K30" s="20"/>
      <c r="L30" s="57">
        <f t="shared" si="0"/>
        <v>41</v>
      </c>
      <c r="M30" s="92">
        <v>8</v>
      </c>
      <c r="N30" s="92">
        <v>9</v>
      </c>
      <c r="O30" s="92">
        <v>9</v>
      </c>
      <c r="P30" s="92">
        <v>5</v>
      </c>
      <c r="Q30" s="31">
        <f t="shared" si="1"/>
        <v>31</v>
      </c>
      <c r="R30" s="74"/>
      <c r="S30" s="20"/>
      <c r="T30" s="33"/>
      <c r="U30" s="73"/>
      <c r="V30" s="93">
        <f t="shared" si="2"/>
        <v>0</v>
      </c>
      <c r="W30" s="18"/>
    </row>
    <row r="31" spans="1:23" ht="24" customHeight="1" x14ac:dyDescent="0.6">
      <c r="A31" s="17">
        <v>22</v>
      </c>
      <c r="B31" s="65"/>
      <c r="C31" s="84"/>
      <c r="D31" s="45"/>
      <c r="E31" s="53">
        <v>10</v>
      </c>
      <c r="F31" s="48">
        <v>8</v>
      </c>
      <c r="G31" s="46">
        <v>8</v>
      </c>
      <c r="H31" s="46">
        <v>5</v>
      </c>
      <c r="I31" s="16">
        <f>SUM(E31:F31:G31:H31)</f>
        <v>31</v>
      </c>
      <c r="J31" s="71">
        <v>11</v>
      </c>
      <c r="K31" s="20"/>
      <c r="L31" s="57">
        <f t="shared" si="0"/>
        <v>42</v>
      </c>
      <c r="M31" s="92">
        <v>8</v>
      </c>
      <c r="N31" s="92">
        <v>8</v>
      </c>
      <c r="O31" s="92">
        <v>8</v>
      </c>
      <c r="P31" s="92">
        <v>5</v>
      </c>
      <c r="Q31" s="31">
        <f t="shared" si="1"/>
        <v>29</v>
      </c>
      <c r="R31" s="74"/>
      <c r="S31" s="20"/>
      <c r="T31" s="33"/>
      <c r="U31" s="73"/>
      <c r="V31" s="93">
        <f t="shared" si="2"/>
        <v>0</v>
      </c>
      <c r="W31" s="18"/>
    </row>
    <row r="32" spans="1:23" ht="24" customHeight="1" x14ac:dyDescent="0.6">
      <c r="A32" s="17">
        <v>23</v>
      </c>
      <c r="B32" s="65"/>
      <c r="C32" s="84"/>
      <c r="D32" s="45"/>
      <c r="E32" s="53">
        <v>10</v>
      </c>
      <c r="F32" s="48">
        <v>9</v>
      </c>
      <c r="G32" s="46">
        <v>9</v>
      </c>
      <c r="H32" s="46">
        <v>5</v>
      </c>
      <c r="I32" s="16">
        <f>SUM(E32:F32:G32:H32)</f>
        <v>33</v>
      </c>
      <c r="J32" s="113">
        <v>11</v>
      </c>
      <c r="K32" s="20"/>
      <c r="L32" s="57">
        <f t="shared" si="0"/>
        <v>44</v>
      </c>
      <c r="M32" s="114">
        <v>8</v>
      </c>
      <c r="N32" s="114">
        <v>9</v>
      </c>
      <c r="O32" s="114">
        <v>8</v>
      </c>
      <c r="P32" s="114">
        <v>5</v>
      </c>
      <c r="Q32" s="31">
        <f t="shared" si="1"/>
        <v>30</v>
      </c>
      <c r="R32" s="76"/>
      <c r="S32" s="20"/>
      <c r="T32" s="111"/>
      <c r="U32" s="112"/>
      <c r="V32" s="93">
        <f t="shared" si="2"/>
        <v>0</v>
      </c>
      <c r="W32" s="18"/>
    </row>
    <row r="33" spans="1:23" ht="24" customHeight="1" x14ac:dyDescent="0.6">
      <c r="A33" s="17">
        <v>24</v>
      </c>
      <c r="B33" s="65"/>
      <c r="C33" s="84"/>
      <c r="D33" s="45"/>
      <c r="E33" s="53">
        <v>8</v>
      </c>
      <c r="F33" s="48">
        <v>8</v>
      </c>
      <c r="G33" s="46">
        <v>8</v>
      </c>
      <c r="H33" s="46">
        <v>5</v>
      </c>
      <c r="I33" s="16">
        <f>SUM(E33:F33:G33:H33)</f>
        <v>29</v>
      </c>
      <c r="J33" s="71">
        <v>14</v>
      </c>
      <c r="K33" s="20"/>
      <c r="L33" s="57">
        <f t="shared" si="0"/>
        <v>43</v>
      </c>
      <c r="M33" s="92">
        <v>9</v>
      </c>
      <c r="N33" s="92">
        <v>9</v>
      </c>
      <c r="O33" s="92">
        <v>8</v>
      </c>
      <c r="P33" s="92">
        <v>5</v>
      </c>
      <c r="Q33" s="31">
        <f t="shared" si="1"/>
        <v>31</v>
      </c>
      <c r="R33" s="74"/>
      <c r="S33" s="20"/>
      <c r="T33" s="33"/>
      <c r="U33" s="73"/>
      <c r="V33" s="93">
        <f t="shared" si="2"/>
        <v>0</v>
      </c>
      <c r="W33" s="18"/>
    </row>
    <row r="34" spans="1:23" ht="24" customHeight="1" x14ac:dyDescent="0.6">
      <c r="A34" s="17">
        <v>25</v>
      </c>
      <c r="B34" s="65"/>
      <c r="C34" s="84"/>
      <c r="D34" s="45"/>
      <c r="E34" s="53">
        <v>10</v>
      </c>
      <c r="F34" s="48">
        <v>7</v>
      </c>
      <c r="G34" s="46">
        <v>8</v>
      </c>
      <c r="H34" s="46">
        <v>5</v>
      </c>
      <c r="I34" s="16">
        <f>SUM(E34:F34:G34:H34)</f>
        <v>30</v>
      </c>
      <c r="J34" s="71">
        <v>11</v>
      </c>
      <c r="K34" s="20"/>
      <c r="L34" s="57">
        <f t="shared" si="0"/>
        <v>41</v>
      </c>
      <c r="M34" s="92">
        <v>8</v>
      </c>
      <c r="N34" s="92">
        <v>9</v>
      </c>
      <c r="O34" s="92">
        <v>9</v>
      </c>
      <c r="P34" s="92">
        <v>5</v>
      </c>
      <c r="Q34" s="31">
        <f t="shared" si="1"/>
        <v>31</v>
      </c>
      <c r="R34" s="74"/>
      <c r="S34" s="20"/>
      <c r="T34" s="33"/>
      <c r="U34" s="73"/>
      <c r="V34" s="93">
        <f t="shared" si="2"/>
        <v>0</v>
      </c>
      <c r="W34" s="18"/>
    </row>
    <row r="35" spans="1:23" ht="24" customHeight="1" x14ac:dyDescent="0.6">
      <c r="A35" s="17">
        <v>26</v>
      </c>
      <c r="B35" s="65"/>
      <c r="C35" s="84"/>
      <c r="D35" s="45"/>
      <c r="E35" s="53">
        <v>8</v>
      </c>
      <c r="F35" s="48">
        <v>9</v>
      </c>
      <c r="G35" s="46">
        <v>8</v>
      </c>
      <c r="H35" s="46">
        <v>5</v>
      </c>
      <c r="I35" s="16">
        <f>SUM(E35:F35:G35:H35)</f>
        <v>30</v>
      </c>
      <c r="J35" s="71">
        <v>12</v>
      </c>
      <c r="K35" s="20"/>
      <c r="L35" s="57">
        <f t="shared" si="0"/>
        <v>42</v>
      </c>
      <c r="M35" s="92">
        <v>10</v>
      </c>
      <c r="N35" s="92">
        <v>10</v>
      </c>
      <c r="O35" s="92">
        <v>10</v>
      </c>
      <c r="P35" s="92">
        <v>5</v>
      </c>
      <c r="Q35" s="31">
        <f t="shared" si="1"/>
        <v>35</v>
      </c>
      <c r="R35" s="74"/>
      <c r="S35" s="20"/>
      <c r="T35" s="33"/>
      <c r="U35" s="73"/>
      <c r="V35" s="93">
        <f t="shared" si="2"/>
        <v>0</v>
      </c>
      <c r="W35" s="18"/>
    </row>
    <row r="36" spans="1:23" ht="24" customHeight="1" x14ac:dyDescent="0.6">
      <c r="A36" s="17">
        <v>27</v>
      </c>
      <c r="B36" s="65"/>
      <c r="C36" s="84"/>
      <c r="D36" s="45"/>
      <c r="E36" s="53">
        <v>10</v>
      </c>
      <c r="F36" s="48">
        <v>8</v>
      </c>
      <c r="G36" s="46">
        <v>8</v>
      </c>
      <c r="H36" s="46">
        <v>5</v>
      </c>
      <c r="I36" s="16">
        <f>SUM(E36:F36:G36:H36)</f>
        <v>31</v>
      </c>
      <c r="J36" s="71">
        <v>11</v>
      </c>
      <c r="K36" s="20"/>
      <c r="L36" s="57">
        <f t="shared" si="0"/>
        <v>42</v>
      </c>
      <c r="M36" s="92">
        <v>8</v>
      </c>
      <c r="N36" s="92">
        <v>9</v>
      </c>
      <c r="O36" s="92">
        <v>9</v>
      </c>
      <c r="P36" s="92">
        <v>5</v>
      </c>
      <c r="Q36" s="31">
        <f t="shared" si="1"/>
        <v>31</v>
      </c>
      <c r="R36" s="74"/>
      <c r="S36" s="20"/>
      <c r="T36" s="33"/>
      <c r="U36" s="73"/>
      <c r="V36" s="93">
        <f t="shared" si="2"/>
        <v>0</v>
      </c>
      <c r="W36" s="18"/>
    </row>
    <row r="37" spans="1:23" ht="24" customHeight="1" x14ac:dyDescent="0.6">
      <c r="A37" s="17">
        <v>28</v>
      </c>
      <c r="B37" s="67"/>
      <c r="C37" s="86"/>
      <c r="D37" s="49"/>
      <c r="E37" s="95">
        <v>8</v>
      </c>
      <c r="F37" s="96">
        <v>8</v>
      </c>
      <c r="G37" s="97">
        <v>8</v>
      </c>
      <c r="H37" s="97">
        <v>5</v>
      </c>
      <c r="I37" s="16">
        <f>SUM(E37:F37:G37:H37)</f>
        <v>29</v>
      </c>
      <c r="J37" s="71">
        <v>11</v>
      </c>
      <c r="K37" s="20"/>
      <c r="L37" s="57">
        <f t="shared" si="0"/>
        <v>40</v>
      </c>
      <c r="M37" s="92">
        <v>8</v>
      </c>
      <c r="N37" s="92">
        <v>8</v>
      </c>
      <c r="O37" s="92">
        <v>9</v>
      </c>
      <c r="P37" s="92">
        <v>5</v>
      </c>
      <c r="Q37" s="31">
        <f t="shared" si="1"/>
        <v>30</v>
      </c>
      <c r="R37" s="74"/>
      <c r="S37" s="20"/>
      <c r="T37" s="33"/>
      <c r="U37" s="73"/>
      <c r="V37" s="93">
        <f t="shared" si="2"/>
        <v>0</v>
      </c>
      <c r="W37" s="18"/>
    </row>
    <row r="38" spans="1:23" ht="24" customHeight="1" x14ac:dyDescent="0.25">
      <c r="A38" s="17">
        <v>29</v>
      </c>
      <c r="B38" s="68"/>
      <c r="C38" s="121"/>
      <c r="D38" s="105"/>
      <c r="E38" s="68">
        <v>10</v>
      </c>
      <c r="F38" s="68">
        <v>10</v>
      </c>
      <c r="G38" s="68">
        <v>10</v>
      </c>
      <c r="H38" s="68">
        <v>5</v>
      </c>
      <c r="I38" s="16">
        <f>SUM(E38:F38:G38:H38)</f>
        <v>35</v>
      </c>
      <c r="J38" s="94">
        <v>14</v>
      </c>
      <c r="K38" s="20"/>
      <c r="L38" s="57">
        <f t="shared" si="0"/>
        <v>49</v>
      </c>
      <c r="M38" s="92">
        <v>10</v>
      </c>
      <c r="N38" s="92">
        <v>10</v>
      </c>
      <c r="O38" s="92">
        <v>10</v>
      </c>
      <c r="P38" s="92">
        <v>5</v>
      </c>
      <c r="Q38" s="31">
        <f t="shared" si="1"/>
        <v>35</v>
      </c>
      <c r="R38" s="74"/>
      <c r="S38" s="20"/>
      <c r="T38" s="33"/>
      <c r="U38" s="73"/>
      <c r="V38" s="93">
        <f t="shared" si="2"/>
        <v>0</v>
      </c>
      <c r="W38" s="18"/>
    </row>
    <row r="39" spans="1:23" ht="24" customHeight="1" x14ac:dyDescent="0.6">
      <c r="A39" s="17">
        <v>30</v>
      </c>
      <c r="B39" s="98"/>
      <c r="C39" s="99"/>
      <c r="D39" s="100"/>
      <c r="E39" s="101"/>
      <c r="F39" s="102"/>
      <c r="G39" s="103"/>
      <c r="H39" s="103"/>
      <c r="I39" s="104"/>
      <c r="J39" s="71"/>
      <c r="K39" s="20"/>
      <c r="L39" s="57"/>
      <c r="M39" s="92"/>
      <c r="N39" s="92"/>
      <c r="O39" s="92"/>
      <c r="P39" s="92"/>
      <c r="Q39" s="31"/>
      <c r="R39" s="74"/>
      <c r="S39" s="20"/>
      <c r="T39" s="33"/>
      <c r="U39" s="73"/>
      <c r="V39" s="93">
        <f t="shared" si="2"/>
        <v>0</v>
      </c>
      <c r="W39" s="18"/>
    </row>
    <row r="40" spans="1:23" ht="24" customHeight="1" x14ac:dyDescent="0.6">
      <c r="A40" s="17">
        <v>31</v>
      </c>
      <c r="B40" s="65"/>
      <c r="C40" s="84"/>
      <c r="D40" s="45"/>
      <c r="E40" s="53"/>
      <c r="F40" s="48"/>
      <c r="G40" s="46"/>
      <c r="H40" s="46"/>
      <c r="I40" s="16"/>
      <c r="J40" s="71"/>
      <c r="K40" s="20"/>
      <c r="L40" s="57"/>
      <c r="M40" s="92"/>
      <c r="N40" s="92"/>
      <c r="O40" s="92"/>
      <c r="P40" s="92"/>
      <c r="Q40" s="31"/>
      <c r="R40" s="74"/>
      <c r="S40" s="20"/>
      <c r="T40" s="33"/>
      <c r="U40" s="73"/>
      <c r="V40" s="93">
        <f t="shared" si="2"/>
        <v>0</v>
      </c>
      <c r="W40" s="18"/>
    </row>
    <row r="41" spans="1:23" ht="21" customHeight="1" x14ac:dyDescent="0.6">
      <c r="A41" s="17">
        <v>32</v>
      </c>
      <c r="B41" s="68"/>
      <c r="C41" s="84"/>
      <c r="D41" s="50"/>
      <c r="E41" s="53"/>
      <c r="F41" s="48"/>
      <c r="G41" s="46"/>
      <c r="H41" s="46"/>
      <c r="I41" s="16"/>
      <c r="J41" s="71"/>
      <c r="K41" s="20"/>
      <c r="L41" s="57"/>
      <c r="M41" s="92"/>
      <c r="N41" s="92"/>
      <c r="O41" s="92"/>
      <c r="P41" s="92"/>
      <c r="Q41" s="31"/>
      <c r="R41" s="74"/>
      <c r="S41" s="20"/>
      <c r="T41" s="33"/>
      <c r="U41" s="73"/>
      <c r="V41" s="93">
        <f t="shared" si="2"/>
        <v>0</v>
      </c>
    </row>
    <row r="42" spans="1:23" ht="21" customHeight="1" x14ac:dyDescent="0.6">
      <c r="A42" s="17">
        <v>33</v>
      </c>
      <c r="B42" s="68"/>
      <c r="C42" s="84"/>
      <c r="D42" s="50"/>
      <c r="E42" s="53"/>
      <c r="F42" s="48"/>
      <c r="G42" s="46"/>
      <c r="H42" s="46"/>
      <c r="I42" s="16"/>
      <c r="J42" s="71"/>
      <c r="K42" s="20"/>
      <c r="L42" s="57"/>
      <c r="M42" s="92"/>
      <c r="N42" s="92"/>
      <c r="O42" s="92"/>
      <c r="P42" s="92"/>
      <c r="Q42" s="31"/>
      <c r="R42" s="75"/>
      <c r="S42" s="20"/>
      <c r="T42" s="33"/>
      <c r="U42" s="73"/>
      <c r="V42" s="93">
        <f t="shared" si="2"/>
        <v>0</v>
      </c>
    </row>
    <row r="43" spans="1:23" ht="21" customHeight="1" x14ac:dyDescent="0.6">
      <c r="A43" s="17">
        <v>34</v>
      </c>
      <c r="B43" s="68"/>
      <c r="C43" s="84"/>
      <c r="D43" s="50"/>
      <c r="E43" s="53"/>
      <c r="F43" s="48"/>
      <c r="G43" s="46"/>
      <c r="H43" s="46"/>
      <c r="I43" s="16"/>
      <c r="J43" s="71"/>
      <c r="K43" s="20"/>
      <c r="L43" s="57"/>
      <c r="M43" s="92"/>
      <c r="N43" s="92"/>
      <c r="O43" s="92"/>
      <c r="P43" s="92"/>
      <c r="Q43" s="31"/>
      <c r="R43" s="74"/>
      <c r="S43" s="20"/>
      <c r="T43" s="33"/>
      <c r="U43" s="73"/>
      <c r="V43" s="93">
        <f t="shared" si="2"/>
        <v>0</v>
      </c>
    </row>
    <row r="44" spans="1:23" ht="21" customHeight="1" x14ac:dyDescent="0.6">
      <c r="A44" s="17">
        <v>35</v>
      </c>
      <c r="B44" s="68"/>
      <c r="C44" s="84"/>
      <c r="D44" s="50"/>
      <c r="E44" s="53"/>
      <c r="F44" s="48"/>
      <c r="G44" s="46"/>
      <c r="H44" s="46"/>
      <c r="I44" s="16"/>
      <c r="J44" s="71"/>
      <c r="K44" s="20"/>
      <c r="L44" s="57"/>
      <c r="M44" s="92"/>
      <c r="N44" s="92"/>
      <c r="O44" s="92"/>
      <c r="P44" s="92"/>
      <c r="Q44" s="31"/>
      <c r="R44" s="74"/>
      <c r="S44" s="20"/>
      <c r="T44" s="33"/>
      <c r="U44" s="73"/>
      <c r="V44" s="93">
        <f t="shared" si="2"/>
        <v>0</v>
      </c>
    </row>
    <row r="45" spans="1:23" ht="21" customHeight="1" x14ac:dyDescent="0.6">
      <c r="A45" s="17">
        <v>36</v>
      </c>
      <c r="B45" s="68"/>
      <c r="C45" s="84"/>
      <c r="D45" s="50"/>
      <c r="E45" s="53"/>
      <c r="F45" s="48"/>
      <c r="G45" s="46"/>
      <c r="H45" s="46"/>
      <c r="I45" s="16"/>
      <c r="J45" s="71"/>
      <c r="K45" s="20"/>
      <c r="L45" s="57"/>
      <c r="M45" s="92"/>
      <c r="N45" s="92"/>
      <c r="O45" s="92"/>
      <c r="P45" s="92"/>
      <c r="Q45" s="31"/>
      <c r="R45" s="74"/>
      <c r="S45" s="20"/>
      <c r="T45" s="33"/>
      <c r="U45" s="73"/>
      <c r="V45" s="93">
        <f t="shared" si="2"/>
        <v>0</v>
      </c>
    </row>
    <row r="46" spans="1:23" ht="21" customHeight="1" x14ac:dyDescent="0.6">
      <c r="A46" s="17">
        <v>37</v>
      </c>
      <c r="B46" s="83"/>
      <c r="C46" s="89"/>
      <c r="D46" s="90"/>
      <c r="E46" s="78"/>
      <c r="F46" s="79"/>
      <c r="G46" s="80"/>
      <c r="H46" s="80"/>
      <c r="I46" s="16"/>
      <c r="J46" s="72"/>
      <c r="K46" s="20"/>
      <c r="L46" s="57"/>
      <c r="M46" s="92"/>
      <c r="N46" s="92"/>
      <c r="O46" s="92"/>
      <c r="P46" s="92"/>
      <c r="Q46" s="31"/>
      <c r="R46" s="82"/>
      <c r="S46" s="20"/>
      <c r="T46" s="33"/>
      <c r="U46" s="73"/>
      <c r="V46" s="93">
        <f t="shared" si="2"/>
        <v>0</v>
      </c>
    </row>
    <row r="47" spans="1:23" ht="21" customHeight="1" x14ac:dyDescent="0.6">
      <c r="A47" s="17">
        <v>38</v>
      </c>
      <c r="B47" s="69"/>
      <c r="C47" s="88"/>
      <c r="D47" s="61"/>
      <c r="E47" s="53"/>
      <c r="F47" s="48"/>
      <c r="G47" s="46"/>
      <c r="H47" s="46"/>
      <c r="I47" s="16"/>
      <c r="J47" s="71"/>
      <c r="K47" s="20"/>
      <c r="L47" s="57"/>
      <c r="M47" s="92"/>
      <c r="N47" s="92"/>
      <c r="O47" s="92"/>
      <c r="P47" s="92"/>
      <c r="Q47" s="31"/>
      <c r="R47" s="74"/>
      <c r="S47" s="20"/>
      <c r="T47" s="33"/>
      <c r="U47" s="73"/>
      <c r="V47" s="93">
        <f t="shared" si="2"/>
        <v>0</v>
      </c>
    </row>
    <row r="48" spans="1:23" ht="21" customHeight="1" x14ac:dyDescent="0.6">
      <c r="A48" s="17">
        <v>39</v>
      </c>
      <c r="B48" s="70"/>
      <c r="C48" s="86"/>
      <c r="D48" s="51"/>
      <c r="E48" s="53"/>
      <c r="F48" s="48"/>
      <c r="G48" s="46"/>
      <c r="H48" s="46"/>
      <c r="I48" s="16"/>
      <c r="J48" s="71"/>
      <c r="K48" s="20"/>
      <c r="L48" s="57"/>
      <c r="M48" s="92"/>
      <c r="N48" s="92"/>
      <c r="O48" s="92"/>
      <c r="P48" s="92"/>
      <c r="Q48" s="31"/>
      <c r="R48" s="74"/>
      <c r="S48" s="20"/>
      <c r="T48" s="33"/>
      <c r="U48" s="73"/>
      <c r="V48" s="93">
        <f t="shared" si="2"/>
        <v>0</v>
      </c>
    </row>
    <row r="49" spans="1:22" ht="21" customHeight="1" x14ac:dyDescent="0.6">
      <c r="A49" s="17">
        <v>40</v>
      </c>
      <c r="B49" s="68"/>
      <c r="C49" s="84"/>
      <c r="D49" s="50"/>
      <c r="E49" s="53"/>
      <c r="F49" s="48"/>
      <c r="G49" s="46"/>
      <c r="H49" s="46"/>
      <c r="I49" s="16"/>
      <c r="J49" s="71"/>
      <c r="K49" s="20"/>
      <c r="L49" s="57"/>
      <c r="M49" s="92"/>
      <c r="N49" s="92"/>
      <c r="O49" s="92"/>
      <c r="P49" s="92"/>
      <c r="Q49" s="31"/>
      <c r="R49" s="74"/>
      <c r="S49" s="20"/>
      <c r="T49" s="33"/>
      <c r="U49" s="73"/>
      <c r="V49" s="93">
        <f t="shared" si="2"/>
        <v>0</v>
      </c>
    </row>
    <row r="50" spans="1:22" ht="21" customHeight="1" x14ac:dyDescent="0.6">
      <c r="A50" s="17">
        <v>41</v>
      </c>
      <c r="B50" s="68"/>
      <c r="C50" s="84"/>
      <c r="D50" s="50"/>
      <c r="E50" s="53"/>
      <c r="F50" s="48"/>
      <c r="G50" s="46"/>
      <c r="H50" s="46"/>
      <c r="I50" s="16"/>
      <c r="J50" s="71"/>
      <c r="K50" s="20"/>
      <c r="L50" s="57"/>
      <c r="M50" s="92"/>
      <c r="N50" s="92"/>
      <c r="O50" s="92"/>
      <c r="P50" s="92"/>
      <c r="Q50" s="31"/>
      <c r="R50" s="74"/>
      <c r="S50" s="20"/>
      <c r="T50" s="33"/>
      <c r="U50" s="73"/>
      <c r="V50" s="93">
        <f t="shared" si="2"/>
        <v>0</v>
      </c>
    </row>
    <row r="51" spans="1:22" ht="21" customHeight="1" x14ac:dyDescent="0.6">
      <c r="A51" s="17">
        <v>42</v>
      </c>
      <c r="B51" s="68"/>
      <c r="C51" s="84"/>
      <c r="D51" s="50"/>
      <c r="E51" s="53"/>
      <c r="F51" s="48"/>
      <c r="G51" s="46"/>
      <c r="H51" s="46"/>
      <c r="I51" s="16"/>
      <c r="J51" s="71"/>
      <c r="K51" s="20"/>
      <c r="L51" s="57"/>
      <c r="M51" s="92"/>
      <c r="N51" s="92"/>
      <c r="O51" s="92"/>
      <c r="P51" s="92"/>
      <c r="Q51" s="31"/>
      <c r="R51" s="74"/>
      <c r="S51" s="20"/>
      <c r="T51" s="33"/>
      <c r="U51" s="73"/>
      <c r="V51" s="93">
        <f t="shared" si="2"/>
        <v>0</v>
      </c>
    </row>
    <row r="52" spans="1:22" ht="21" customHeight="1" x14ac:dyDescent="0.6">
      <c r="A52" s="17">
        <v>43</v>
      </c>
      <c r="B52" s="68"/>
      <c r="C52" s="84"/>
      <c r="D52" s="50"/>
      <c r="E52" s="53"/>
      <c r="F52" s="48"/>
      <c r="G52" s="46"/>
      <c r="H52" s="46"/>
      <c r="I52" s="16"/>
      <c r="J52" s="71"/>
      <c r="K52" s="20"/>
      <c r="L52" s="57"/>
      <c r="M52" s="92"/>
      <c r="N52" s="92"/>
      <c r="O52" s="92"/>
      <c r="P52" s="92"/>
      <c r="Q52" s="31"/>
      <c r="R52" s="74"/>
      <c r="S52" s="20"/>
      <c r="T52" s="33"/>
      <c r="U52" s="73"/>
      <c r="V52" s="93">
        <f t="shared" si="2"/>
        <v>0</v>
      </c>
    </row>
    <row r="53" spans="1:22" ht="21" customHeight="1" x14ac:dyDescent="0.6">
      <c r="A53" s="17">
        <v>44</v>
      </c>
      <c r="B53" s="68"/>
      <c r="C53" s="84"/>
      <c r="D53" s="50"/>
      <c r="E53" s="53"/>
      <c r="F53" s="48"/>
      <c r="G53" s="46"/>
      <c r="H53" s="46"/>
      <c r="I53" s="16"/>
      <c r="J53" s="71"/>
      <c r="K53" s="20"/>
      <c r="L53" s="57"/>
      <c r="M53" s="92"/>
      <c r="N53" s="92"/>
      <c r="O53" s="92"/>
      <c r="P53" s="92"/>
      <c r="Q53" s="31"/>
      <c r="R53" s="74"/>
      <c r="S53" s="20"/>
      <c r="T53" s="33"/>
      <c r="U53" s="73"/>
      <c r="V53" s="93">
        <f t="shared" si="2"/>
        <v>0</v>
      </c>
    </row>
    <row r="54" spans="1:22" ht="21" customHeight="1" x14ac:dyDescent="0.6">
      <c r="A54" s="17">
        <v>45</v>
      </c>
      <c r="B54" s="68"/>
      <c r="C54" s="84"/>
      <c r="D54" s="50"/>
      <c r="E54" s="54"/>
      <c r="F54" s="48"/>
      <c r="G54" s="46"/>
      <c r="H54" s="46"/>
      <c r="I54" s="16"/>
      <c r="J54" s="71"/>
      <c r="K54" s="20"/>
      <c r="L54" s="57"/>
      <c r="M54" s="92"/>
      <c r="N54" s="92"/>
      <c r="O54" s="92"/>
      <c r="P54" s="92"/>
      <c r="Q54" s="31"/>
      <c r="R54" s="74"/>
      <c r="S54" s="20"/>
      <c r="T54" s="33"/>
      <c r="U54" s="73"/>
      <c r="V54" s="93">
        <f t="shared" si="2"/>
        <v>0</v>
      </c>
    </row>
    <row r="55" spans="1:22" x14ac:dyDescent="0.6">
      <c r="A55" s="17">
        <v>46</v>
      </c>
      <c r="B55" s="68"/>
      <c r="C55" s="84"/>
      <c r="D55" s="50"/>
      <c r="E55" s="54"/>
      <c r="F55" s="48"/>
      <c r="G55" s="46"/>
      <c r="H55" s="46"/>
      <c r="I55" s="16"/>
      <c r="J55" s="56"/>
      <c r="K55" s="20"/>
      <c r="L55" s="57"/>
      <c r="M55" s="74"/>
      <c r="N55" s="74"/>
      <c r="O55" s="74"/>
      <c r="P55" s="74"/>
      <c r="Q55" s="31"/>
      <c r="R55" s="74"/>
      <c r="S55" s="20"/>
      <c r="T55" s="33"/>
      <c r="U55" s="73"/>
      <c r="V55" s="93">
        <f t="shared" si="2"/>
        <v>0</v>
      </c>
    </row>
  </sheetData>
  <dataConsolidate/>
  <mergeCells count="25">
    <mergeCell ref="D1:E1"/>
    <mergeCell ref="A3:U3"/>
    <mergeCell ref="A4:A9"/>
    <mergeCell ref="B4:D9"/>
    <mergeCell ref="I5:I8"/>
    <mergeCell ref="J5:J8"/>
    <mergeCell ref="K5:K8"/>
    <mergeCell ref="L5:L8"/>
    <mergeCell ref="P7:P8"/>
    <mergeCell ref="Q5:Q8"/>
    <mergeCell ref="R5:R8"/>
    <mergeCell ref="S5:S8"/>
    <mergeCell ref="E7:E8"/>
    <mergeCell ref="F7:F8"/>
    <mergeCell ref="H7:H8"/>
    <mergeCell ref="M7:M8"/>
    <mergeCell ref="V5:V9"/>
    <mergeCell ref="E4:V4"/>
    <mergeCell ref="E5:H5"/>
    <mergeCell ref="M5:P5"/>
    <mergeCell ref="G7:G8"/>
    <mergeCell ref="O7:O8"/>
    <mergeCell ref="T5:T8"/>
    <mergeCell ref="U5:U8"/>
    <mergeCell ref="N7:N8"/>
  </mergeCells>
  <dataValidations count="2">
    <dataValidation type="whole" allowBlank="1" showInputMessage="1" showErrorMessage="1" promptTitle="คำแนะนำ" prompt="คะแนนจะอยู่ระหว่าง 4-5 เท่านั้น" sqref="P55" xr:uid="{00000000-0002-0000-0100-000000000000}">
      <formula1>4</formula1>
      <formula2>5</formula2>
    </dataValidation>
    <dataValidation type="whole" allowBlank="1" showInputMessage="1" showErrorMessage="1" promptTitle="คำแนะนำ" prompt="คะแนนจะอยู่ระหว่าง 7-10 เท่านั้น" sqref="M55:O55" xr:uid="{00000000-0002-0000-0100-000001000000}">
      <formula1>7</formula1>
      <formula2>10</formula2>
    </dataValidation>
  </dataValidations>
  <printOptions horizontalCentered="1"/>
  <pageMargins left="0.19685039370078741" right="0.19685039370078741" top="0.19685039370078741" bottom="0.19685039370078741" header="0.31496062992125984" footer="0.31496062992125984"/>
  <pageSetup paperSize="9" scale="61" fitToHeight="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  <pageSetUpPr fitToPage="1"/>
  </sheetPr>
  <dimension ref="A1:W55"/>
  <sheetViews>
    <sheetView view="pageBreakPreview" topLeftCell="A5" zoomScaleNormal="100" zoomScaleSheetLayoutView="100" zoomScalePageLayoutView="120" workbookViewId="0">
      <selection activeCell="B10" sqref="B10:D11"/>
    </sheetView>
  </sheetViews>
  <sheetFormatPr defaultColWidth="9.09765625" defaultRowHeight="23.4" x14ac:dyDescent="0.25"/>
  <cols>
    <col min="1" max="1" width="3.8984375" style="19" customWidth="1"/>
    <col min="2" max="2" width="7.09765625" style="19" bestFit="1" customWidth="1"/>
    <col min="3" max="3" width="18.09765625" style="34" bestFit="1" customWidth="1"/>
    <col min="4" max="4" width="18.3984375" style="35" customWidth="1"/>
    <col min="5" max="9" width="5.8984375" style="19" customWidth="1"/>
    <col min="10" max="11" width="5.8984375" style="36" customWidth="1"/>
    <col min="12" max="12" width="6.59765625" style="19" customWidth="1"/>
    <col min="13" max="13" width="5.8984375" style="19" customWidth="1"/>
    <col min="14" max="15" width="6" style="19" customWidth="1"/>
    <col min="16" max="21" width="5.8984375" style="19" customWidth="1"/>
    <col min="22" max="22" width="5.69921875" style="19" customWidth="1"/>
    <col min="23" max="23" width="3.19921875" style="19" customWidth="1"/>
    <col min="24" max="16384" width="9.09765625" style="19"/>
  </cols>
  <sheetData>
    <row r="1" spans="1:23" ht="22.5" customHeight="1" x14ac:dyDescent="0.25">
      <c r="A1" s="21"/>
      <c r="B1" s="21"/>
      <c r="C1" s="22"/>
      <c r="D1" s="135" t="s">
        <v>12</v>
      </c>
      <c r="E1" s="135"/>
      <c r="F1" s="23">
        <f>INFO!C3</f>
        <v>1</v>
      </c>
      <c r="G1" s="23"/>
      <c r="H1" s="23"/>
      <c r="I1" s="21" t="s">
        <v>13</v>
      </c>
      <c r="J1" s="21"/>
      <c r="K1" s="21"/>
      <c r="L1" s="23">
        <f>INFO!C4</f>
        <v>2026</v>
      </c>
      <c r="M1" s="24"/>
      <c r="N1" s="21"/>
      <c r="O1" s="21"/>
      <c r="P1" s="21"/>
      <c r="Q1" s="21"/>
      <c r="R1" s="21"/>
      <c r="S1" s="21"/>
      <c r="T1" s="21"/>
      <c r="U1" s="21"/>
    </row>
    <row r="2" spans="1:23" ht="19.5" customHeight="1" x14ac:dyDescent="0.25">
      <c r="A2" s="21"/>
      <c r="B2" s="21"/>
      <c r="C2" s="25" t="s">
        <v>7</v>
      </c>
      <c r="D2" s="23" t="str">
        <f>INFO!C9</f>
        <v>Mr.Vladimir</v>
      </c>
      <c r="E2" s="21" t="s">
        <v>6</v>
      </c>
      <c r="F2" s="42"/>
      <c r="G2" s="58" t="str">
        <f>INFO!B9</f>
        <v>Science</v>
      </c>
      <c r="I2" s="26" t="str">
        <f>INFO!C6</f>
        <v>Bilingual Program</v>
      </c>
      <c r="J2" s="21"/>
      <c r="K2" s="21"/>
      <c r="L2" s="21"/>
      <c r="M2" s="21" t="s">
        <v>3</v>
      </c>
      <c r="N2" s="26" t="str">
        <f>INFO!C5</f>
        <v>P.1/3</v>
      </c>
      <c r="O2" s="26"/>
      <c r="P2" s="26"/>
      <c r="Q2" s="21"/>
      <c r="R2" s="21"/>
      <c r="S2" s="21"/>
      <c r="T2" s="21"/>
      <c r="U2" s="21"/>
    </row>
    <row r="3" spans="1:23" ht="9" customHeight="1" x14ac:dyDescent="0.25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</row>
    <row r="4" spans="1:23" ht="24" customHeight="1" x14ac:dyDescent="0.25">
      <c r="A4" s="136" t="s">
        <v>14</v>
      </c>
      <c r="B4" s="126" t="s">
        <v>15</v>
      </c>
      <c r="C4" s="126"/>
      <c r="D4" s="126"/>
      <c r="E4" s="126" t="s">
        <v>16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</row>
    <row r="5" spans="1:23" ht="40.5" customHeight="1" x14ac:dyDescent="0.25">
      <c r="A5" s="137"/>
      <c r="B5" s="126"/>
      <c r="C5" s="126"/>
      <c r="D5" s="126"/>
      <c r="E5" s="127" t="s">
        <v>17</v>
      </c>
      <c r="F5" s="127"/>
      <c r="G5" s="127"/>
      <c r="H5" s="127"/>
      <c r="I5" s="131" t="s">
        <v>18</v>
      </c>
      <c r="J5" s="131" t="s">
        <v>19</v>
      </c>
      <c r="K5" s="139" t="s">
        <v>20</v>
      </c>
      <c r="L5" s="140" t="s">
        <v>21</v>
      </c>
      <c r="M5" s="128" t="s">
        <v>17</v>
      </c>
      <c r="N5" s="128"/>
      <c r="O5" s="128"/>
      <c r="P5" s="129"/>
      <c r="Q5" s="133" t="s">
        <v>18</v>
      </c>
      <c r="R5" s="133" t="s">
        <v>22</v>
      </c>
      <c r="S5" s="143" t="s">
        <v>20</v>
      </c>
      <c r="T5" s="134" t="s">
        <v>23</v>
      </c>
      <c r="U5" s="133" t="s">
        <v>24</v>
      </c>
      <c r="V5" s="125" t="s">
        <v>32</v>
      </c>
    </row>
    <row r="6" spans="1:23" ht="27.9" customHeight="1" x14ac:dyDescent="0.25">
      <c r="A6" s="137"/>
      <c r="B6" s="126"/>
      <c r="C6" s="126"/>
      <c r="D6" s="146"/>
      <c r="E6" s="27"/>
      <c r="F6" s="28"/>
      <c r="G6" s="28"/>
      <c r="H6" s="29"/>
      <c r="I6" s="138"/>
      <c r="J6" s="131"/>
      <c r="K6" s="139"/>
      <c r="L6" s="140"/>
      <c r="M6" s="28"/>
      <c r="N6" s="28"/>
      <c r="O6" s="28"/>
      <c r="P6" s="28"/>
      <c r="Q6" s="133"/>
      <c r="R6" s="133"/>
      <c r="S6" s="143"/>
      <c r="T6" s="134"/>
      <c r="U6" s="133"/>
      <c r="V6" s="125"/>
    </row>
    <row r="7" spans="1:23" ht="27.9" customHeight="1" x14ac:dyDescent="0.25">
      <c r="A7" s="137"/>
      <c r="B7" s="126"/>
      <c r="C7" s="126"/>
      <c r="D7" s="126"/>
      <c r="E7" s="130" t="s">
        <v>25</v>
      </c>
      <c r="F7" s="130" t="s">
        <v>26</v>
      </c>
      <c r="G7" s="130" t="s">
        <v>27</v>
      </c>
      <c r="H7" s="130" t="s">
        <v>28</v>
      </c>
      <c r="I7" s="131"/>
      <c r="J7" s="131"/>
      <c r="K7" s="139"/>
      <c r="L7" s="140"/>
      <c r="M7" s="144" t="s">
        <v>25</v>
      </c>
      <c r="N7" s="132" t="s">
        <v>26</v>
      </c>
      <c r="O7" s="132" t="s">
        <v>27</v>
      </c>
      <c r="P7" s="141" t="s">
        <v>28</v>
      </c>
      <c r="Q7" s="133"/>
      <c r="R7" s="133"/>
      <c r="S7" s="143"/>
      <c r="T7" s="134"/>
      <c r="U7" s="133"/>
      <c r="V7" s="125"/>
    </row>
    <row r="8" spans="1:23" ht="21" customHeight="1" x14ac:dyDescent="0.25">
      <c r="A8" s="137"/>
      <c r="B8" s="126"/>
      <c r="C8" s="126"/>
      <c r="D8" s="126"/>
      <c r="E8" s="131"/>
      <c r="F8" s="131"/>
      <c r="G8" s="131"/>
      <c r="H8" s="131"/>
      <c r="I8" s="131"/>
      <c r="J8" s="131"/>
      <c r="K8" s="139"/>
      <c r="L8" s="140"/>
      <c r="M8" s="145"/>
      <c r="N8" s="133"/>
      <c r="O8" s="133"/>
      <c r="P8" s="142"/>
      <c r="Q8" s="133"/>
      <c r="R8" s="133"/>
      <c r="S8" s="143"/>
      <c r="T8" s="134"/>
      <c r="U8" s="133"/>
      <c r="V8" s="125"/>
    </row>
    <row r="9" spans="1:23" ht="20.100000000000001" customHeight="1" x14ac:dyDescent="0.25">
      <c r="A9" s="137"/>
      <c r="B9" s="127"/>
      <c r="C9" s="127"/>
      <c r="D9" s="127"/>
      <c r="E9" s="38">
        <v>10</v>
      </c>
      <c r="F9" s="38">
        <v>10</v>
      </c>
      <c r="G9" s="38">
        <v>10</v>
      </c>
      <c r="H9" s="38">
        <v>5</v>
      </c>
      <c r="I9" s="39">
        <f>SUM(E9:H9)</f>
        <v>35</v>
      </c>
      <c r="J9" s="40">
        <v>15</v>
      </c>
      <c r="K9" s="41">
        <v>10</v>
      </c>
      <c r="L9" s="57">
        <f>SUM(I9:J9)</f>
        <v>50</v>
      </c>
      <c r="M9" s="37">
        <v>10</v>
      </c>
      <c r="N9" s="30">
        <v>10</v>
      </c>
      <c r="O9" s="30">
        <v>10</v>
      </c>
      <c r="P9" s="30">
        <v>5</v>
      </c>
      <c r="Q9" s="31">
        <f>SUM(M9:P9)</f>
        <v>35</v>
      </c>
      <c r="R9" s="32">
        <v>15</v>
      </c>
      <c r="S9" s="11">
        <v>10</v>
      </c>
      <c r="T9" s="33">
        <f>SUM(Q9:R9)</f>
        <v>50</v>
      </c>
      <c r="U9" s="73">
        <f>SUM(L9,T9)</f>
        <v>100</v>
      </c>
      <c r="V9" s="125"/>
    </row>
    <row r="10" spans="1:23" ht="24" customHeight="1" x14ac:dyDescent="0.6">
      <c r="A10" s="17">
        <v>1</v>
      </c>
      <c r="B10" s="65">
        <v>12345</v>
      </c>
      <c r="C10" s="84" t="s">
        <v>34</v>
      </c>
      <c r="D10" s="45" t="s">
        <v>35</v>
      </c>
      <c r="E10" s="52">
        <v>9</v>
      </c>
      <c r="F10" s="48">
        <v>10</v>
      </c>
      <c r="G10" s="46">
        <v>9</v>
      </c>
      <c r="H10" s="46">
        <v>5</v>
      </c>
      <c r="I10" s="39">
        <f t="shared" ref="I10:I31" si="0">SUM(E10:H10)</f>
        <v>33</v>
      </c>
      <c r="J10" s="56">
        <v>13</v>
      </c>
      <c r="K10" s="20"/>
      <c r="L10" s="57">
        <f t="shared" ref="L10:L38" si="1">SUM(I10:J10)</f>
        <v>46</v>
      </c>
      <c r="M10" s="74">
        <v>9</v>
      </c>
      <c r="N10" s="74">
        <v>10</v>
      </c>
      <c r="O10" s="74">
        <v>9</v>
      </c>
      <c r="P10" s="74">
        <v>5</v>
      </c>
      <c r="Q10" s="31">
        <f t="shared" ref="Q10:Q38" si="2">SUM(M10:P10)</f>
        <v>33</v>
      </c>
      <c r="R10" s="74">
        <v>14</v>
      </c>
      <c r="S10" s="20"/>
      <c r="T10" s="33">
        <f t="shared" ref="T10:T38" si="3">SUM(Q10:R10)</f>
        <v>47</v>
      </c>
      <c r="U10" s="73">
        <f t="shared" ref="U10:U38" si="4">SUM(L10,T10)</f>
        <v>93</v>
      </c>
      <c r="V10" s="93">
        <f>IF(U11&gt;=80,4,
IF(U11&gt;=75,3.5,
IF(U11&gt;=70,3,
IF(U11&gt;=65,2.5,
IF(U11&gt;=60,2,
IF(U11&gt;=55,1.5,
IF(U11&gt;=50,1,0)))))))</f>
        <v>4</v>
      </c>
      <c r="W10" s="18"/>
    </row>
    <row r="11" spans="1:23" ht="24" customHeight="1" x14ac:dyDescent="0.6">
      <c r="A11" s="17">
        <v>2</v>
      </c>
      <c r="B11" s="65">
        <v>12346</v>
      </c>
      <c r="C11" s="84" t="s">
        <v>36</v>
      </c>
      <c r="D11" s="45" t="s">
        <v>37</v>
      </c>
      <c r="E11" s="53">
        <v>10</v>
      </c>
      <c r="F11" s="48">
        <v>10</v>
      </c>
      <c r="G11" s="46">
        <v>9</v>
      </c>
      <c r="H11" s="46">
        <v>5</v>
      </c>
      <c r="I11" s="39">
        <f t="shared" si="0"/>
        <v>34</v>
      </c>
      <c r="J11" s="56">
        <v>11</v>
      </c>
      <c r="K11" s="20"/>
      <c r="L11" s="57">
        <f t="shared" si="1"/>
        <v>45</v>
      </c>
      <c r="M11" s="74">
        <v>9</v>
      </c>
      <c r="N11" s="74">
        <v>8</v>
      </c>
      <c r="O11" s="74">
        <v>9</v>
      </c>
      <c r="P11" s="74">
        <v>5</v>
      </c>
      <c r="Q11" s="31">
        <f t="shared" si="2"/>
        <v>31</v>
      </c>
      <c r="R11" s="74">
        <v>4</v>
      </c>
      <c r="S11" s="20"/>
      <c r="T11" s="33">
        <f t="shared" si="3"/>
        <v>35</v>
      </c>
      <c r="U11" s="73">
        <f t="shared" si="4"/>
        <v>80</v>
      </c>
      <c r="V11" s="93">
        <f t="shared" ref="V11:V55" si="5">IF(U12&gt;=80,4,
IF(U12&gt;=75,3.5,
IF(U12&gt;=70,3,
IF(U12&gt;=65,2.5,
IF(U12&gt;=60,2,
IF(U12&gt;=55,1.5,
IF(U12&gt;=50,1,0)))))))</f>
        <v>4</v>
      </c>
      <c r="W11" s="18"/>
    </row>
    <row r="12" spans="1:23" ht="24" customHeight="1" x14ac:dyDescent="0.6">
      <c r="A12" s="17">
        <v>3</v>
      </c>
      <c r="B12" s="65"/>
      <c r="C12" s="84"/>
      <c r="D12" s="45"/>
      <c r="E12" s="53">
        <v>10</v>
      </c>
      <c r="F12" s="48">
        <v>9</v>
      </c>
      <c r="G12" s="46">
        <v>10</v>
      </c>
      <c r="H12" s="46">
        <v>5</v>
      </c>
      <c r="I12" s="39">
        <f t="shared" si="0"/>
        <v>34</v>
      </c>
      <c r="J12" s="56">
        <v>15</v>
      </c>
      <c r="K12" s="20"/>
      <c r="L12" s="57">
        <f t="shared" si="1"/>
        <v>49</v>
      </c>
      <c r="M12" s="74">
        <v>10</v>
      </c>
      <c r="N12" s="74">
        <v>10</v>
      </c>
      <c r="O12" s="74">
        <v>10</v>
      </c>
      <c r="P12" s="74">
        <v>5</v>
      </c>
      <c r="Q12" s="31">
        <f t="shared" si="2"/>
        <v>35</v>
      </c>
      <c r="R12" s="74">
        <v>12</v>
      </c>
      <c r="S12" s="20"/>
      <c r="T12" s="33">
        <f t="shared" si="3"/>
        <v>47</v>
      </c>
      <c r="U12" s="73">
        <f t="shared" si="4"/>
        <v>96</v>
      </c>
      <c r="V12" s="93">
        <f t="shared" si="5"/>
        <v>4</v>
      </c>
      <c r="W12" s="18"/>
    </row>
    <row r="13" spans="1:23" ht="24" customHeight="1" x14ac:dyDescent="0.6">
      <c r="A13" s="17">
        <v>4</v>
      </c>
      <c r="B13" s="65"/>
      <c r="C13" s="84"/>
      <c r="D13" s="45"/>
      <c r="E13" s="53">
        <v>10</v>
      </c>
      <c r="F13" s="48">
        <v>9</v>
      </c>
      <c r="G13" s="46">
        <v>10</v>
      </c>
      <c r="H13" s="46">
        <v>5</v>
      </c>
      <c r="I13" s="39">
        <f t="shared" si="0"/>
        <v>34</v>
      </c>
      <c r="J13" s="56">
        <v>11</v>
      </c>
      <c r="K13" s="20"/>
      <c r="L13" s="57">
        <f t="shared" si="1"/>
        <v>45</v>
      </c>
      <c r="M13" s="74">
        <v>9</v>
      </c>
      <c r="N13" s="74">
        <v>8</v>
      </c>
      <c r="O13" s="74">
        <v>9</v>
      </c>
      <c r="P13" s="74">
        <v>5</v>
      </c>
      <c r="Q13" s="31">
        <f t="shared" si="2"/>
        <v>31</v>
      </c>
      <c r="R13" s="74">
        <v>15</v>
      </c>
      <c r="S13" s="20"/>
      <c r="T13" s="33">
        <f t="shared" si="3"/>
        <v>46</v>
      </c>
      <c r="U13" s="73">
        <f t="shared" si="4"/>
        <v>91</v>
      </c>
      <c r="V13" s="93">
        <f t="shared" si="5"/>
        <v>4</v>
      </c>
      <c r="W13" s="18"/>
    </row>
    <row r="14" spans="1:23" ht="24" customHeight="1" x14ac:dyDescent="0.6">
      <c r="A14" s="17">
        <v>5</v>
      </c>
      <c r="B14" s="65"/>
      <c r="C14" s="84"/>
      <c r="D14" s="45"/>
      <c r="E14" s="53">
        <v>10</v>
      </c>
      <c r="F14" s="48">
        <v>9</v>
      </c>
      <c r="G14" s="46">
        <v>10</v>
      </c>
      <c r="H14" s="46">
        <v>5</v>
      </c>
      <c r="I14" s="39">
        <f t="shared" si="0"/>
        <v>34</v>
      </c>
      <c r="J14" s="56">
        <v>13</v>
      </c>
      <c r="K14" s="20"/>
      <c r="L14" s="57">
        <f t="shared" si="1"/>
        <v>47</v>
      </c>
      <c r="M14" s="74">
        <v>9</v>
      </c>
      <c r="N14" s="74">
        <v>10</v>
      </c>
      <c r="O14" s="74">
        <v>9</v>
      </c>
      <c r="P14" s="74">
        <v>5</v>
      </c>
      <c r="Q14" s="31">
        <f t="shared" si="2"/>
        <v>33</v>
      </c>
      <c r="R14" s="74">
        <v>10</v>
      </c>
      <c r="S14" s="20"/>
      <c r="T14" s="33">
        <f t="shared" si="3"/>
        <v>43</v>
      </c>
      <c r="U14" s="73">
        <f t="shared" si="4"/>
        <v>90</v>
      </c>
      <c r="V14" s="93">
        <f t="shared" si="5"/>
        <v>4</v>
      </c>
      <c r="W14" s="18"/>
    </row>
    <row r="15" spans="1:23" ht="24" customHeight="1" x14ac:dyDescent="0.6">
      <c r="A15" s="17">
        <v>6</v>
      </c>
      <c r="B15" s="66"/>
      <c r="C15" s="85"/>
      <c r="D15" s="55"/>
      <c r="E15" s="53">
        <v>9</v>
      </c>
      <c r="F15" s="48">
        <v>10</v>
      </c>
      <c r="G15" s="46">
        <v>10</v>
      </c>
      <c r="H15" s="46">
        <v>5</v>
      </c>
      <c r="I15" s="39">
        <f t="shared" si="0"/>
        <v>34</v>
      </c>
      <c r="J15" s="56">
        <v>14</v>
      </c>
      <c r="K15" s="20"/>
      <c r="L15" s="57">
        <f t="shared" si="1"/>
        <v>48</v>
      </c>
      <c r="M15" s="74">
        <v>10</v>
      </c>
      <c r="N15" s="74">
        <v>9</v>
      </c>
      <c r="O15" s="74">
        <v>10</v>
      </c>
      <c r="P15" s="74">
        <v>5</v>
      </c>
      <c r="Q15" s="31">
        <f t="shared" si="2"/>
        <v>34</v>
      </c>
      <c r="R15" s="74">
        <v>15</v>
      </c>
      <c r="S15" s="20"/>
      <c r="T15" s="33">
        <f t="shared" si="3"/>
        <v>49</v>
      </c>
      <c r="U15" s="73">
        <f t="shared" si="4"/>
        <v>97</v>
      </c>
      <c r="V15" s="93">
        <f t="shared" si="5"/>
        <v>4</v>
      </c>
      <c r="W15" s="18"/>
    </row>
    <row r="16" spans="1:23" ht="24" customHeight="1" x14ac:dyDescent="0.6">
      <c r="A16" s="17">
        <v>7</v>
      </c>
      <c r="B16" s="65"/>
      <c r="C16" s="84"/>
      <c r="D16" s="45"/>
      <c r="E16" s="53">
        <v>9</v>
      </c>
      <c r="F16" s="48">
        <v>10</v>
      </c>
      <c r="G16" s="46">
        <v>9</v>
      </c>
      <c r="H16" s="46">
        <v>5</v>
      </c>
      <c r="I16" s="39">
        <f t="shared" si="0"/>
        <v>33</v>
      </c>
      <c r="J16" s="56">
        <v>12</v>
      </c>
      <c r="K16" s="20"/>
      <c r="L16" s="57">
        <f t="shared" si="1"/>
        <v>45</v>
      </c>
      <c r="M16" s="74">
        <v>9</v>
      </c>
      <c r="N16" s="74">
        <v>9</v>
      </c>
      <c r="O16" s="74">
        <v>9</v>
      </c>
      <c r="P16" s="74">
        <v>5</v>
      </c>
      <c r="Q16" s="31">
        <f t="shared" si="2"/>
        <v>32</v>
      </c>
      <c r="R16" s="74">
        <v>15</v>
      </c>
      <c r="S16" s="20"/>
      <c r="T16" s="33">
        <f t="shared" si="3"/>
        <v>47</v>
      </c>
      <c r="U16" s="73">
        <f t="shared" si="4"/>
        <v>92</v>
      </c>
      <c r="V16" s="93">
        <f t="shared" si="5"/>
        <v>4</v>
      </c>
      <c r="W16" s="18"/>
    </row>
    <row r="17" spans="1:23" ht="24" customHeight="1" x14ac:dyDescent="0.6">
      <c r="A17" s="17">
        <v>8</v>
      </c>
      <c r="B17" s="65"/>
      <c r="C17" s="84"/>
      <c r="D17" s="45"/>
      <c r="E17" s="53">
        <v>10</v>
      </c>
      <c r="F17" s="48">
        <v>10</v>
      </c>
      <c r="G17" s="46">
        <v>10</v>
      </c>
      <c r="H17" s="46">
        <v>5</v>
      </c>
      <c r="I17" s="39">
        <f t="shared" si="0"/>
        <v>35</v>
      </c>
      <c r="J17" s="56">
        <v>14</v>
      </c>
      <c r="K17" s="20"/>
      <c r="L17" s="57">
        <f t="shared" si="1"/>
        <v>49</v>
      </c>
      <c r="M17" s="74">
        <v>10</v>
      </c>
      <c r="N17" s="74">
        <v>9</v>
      </c>
      <c r="O17" s="74">
        <v>10</v>
      </c>
      <c r="P17" s="74">
        <v>5</v>
      </c>
      <c r="Q17" s="31">
        <f t="shared" si="2"/>
        <v>34</v>
      </c>
      <c r="R17" s="74">
        <v>15</v>
      </c>
      <c r="S17" s="20"/>
      <c r="T17" s="33">
        <f t="shared" si="3"/>
        <v>49</v>
      </c>
      <c r="U17" s="73">
        <f t="shared" si="4"/>
        <v>98</v>
      </c>
      <c r="V17" s="93">
        <f t="shared" si="5"/>
        <v>4</v>
      </c>
      <c r="W17" s="18"/>
    </row>
    <row r="18" spans="1:23" ht="24" customHeight="1" x14ac:dyDescent="0.6">
      <c r="A18" s="17">
        <v>9</v>
      </c>
      <c r="B18" s="65"/>
      <c r="C18" s="84"/>
      <c r="D18" s="45"/>
      <c r="E18" s="53">
        <v>10</v>
      </c>
      <c r="F18" s="48">
        <v>9</v>
      </c>
      <c r="G18" s="46">
        <v>9</v>
      </c>
      <c r="H18" s="46">
        <v>5</v>
      </c>
      <c r="I18" s="39">
        <f t="shared" si="0"/>
        <v>33</v>
      </c>
      <c r="J18" s="56">
        <v>15</v>
      </c>
      <c r="K18" s="20"/>
      <c r="L18" s="57">
        <f t="shared" si="1"/>
        <v>48</v>
      </c>
      <c r="M18" s="74">
        <v>10</v>
      </c>
      <c r="N18" s="74">
        <v>10</v>
      </c>
      <c r="O18" s="74">
        <v>10</v>
      </c>
      <c r="P18" s="74">
        <v>5</v>
      </c>
      <c r="Q18" s="31">
        <f t="shared" si="2"/>
        <v>35</v>
      </c>
      <c r="R18" s="74">
        <v>15</v>
      </c>
      <c r="S18" s="20"/>
      <c r="T18" s="33">
        <f t="shared" si="3"/>
        <v>50</v>
      </c>
      <c r="U18" s="73">
        <f t="shared" si="4"/>
        <v>98</v>
      </c>
      <c r="V18" s="93">
        <f t="shared" si="5"/>
        <v>4</v>
      </c>
      <c r="W18" s="18"/>
    </row>
    <row r="19" spans="1:23" ht="24" customHeight="1" x14ac:dyDescent="0.6">
      <c r="A19" s="17">
        <v>10</v>
      </c>
      <c r="B19" s="65"/>
      <c r="C19" s="84"/>
      <c r="D19" s="45"/>
      <c r="E19" s="53">
        <v>9</v>
      </c>
      <c r="F19" s="48">
        <v>9</v>
      </c>
      <c r="G19" s="46">
        <v>10</v>
      </c>
      <c r="H19" s="46">
        <v>5</v>
      </c>
      <c r="I19" s="39">
        <f t="shared" si="0"/>
        <v>33</v>
      </c>
      <c r="J19" s="56">
        <v>14</v>
      </c>
      <c r="K19" s="20"/>
      <c r="L19" s="57">
        <f t="shared" si="1"/>
        <v>47</v>
      </c>
      <c r="M19" s="74">
        <v>10</v>
      </c>
      <c r="N19" s="74">
        <v>9</v>
      </c>
      <c r="O19" s="74">
        <v>10</v>
      </c>
      <c r="P19" s="74">
        <v>5</v>
      </c>
      <c r="Q19" s="31">
        <f t="shared" si="2"/>
        <v>34</v>
      </c>
      <c r="R19" s="74">
        <v>14</v>
      </c>
      <c r="S19" s="20"/>
      <c r="T19" s="33">
        <f t="shared" si="3"/>
        <v>48</v>
      </c>
      <c r="U19" s="73">
        <f t="shared" si="4"/>
        <v>95</v>
      </c>
      <c r="V19" s="93">
        <f t="shared" si="5"/>
        <v>4</v>
      </c>
      <c r="W19" s="18"/>
    </row>
    <row r="20" spans="1:23" ht="24" customHeight="1" x14ac:dyDescent="0.6">
      <c r="A20" s="17">
        <v>11</v>
      </c>
      <c r="B20" s="65"/>
      <c r="C20" s="84"/>
      <c r="D20" s="45"/>
      <c r="E20" s="53">
        <v>9</v>
      </c>
      <c r="F20" s="48">
        <v>10</v>
      </c>
      <c r="G20" s="46">
        <v>9</v>
      </c>
      <c r="H20" s="46">
        <v>5</v>
      </c>
      <c r="I20" s="39">
        <f t="shared" si="0"/>
        <v>33</v>
      </c>
      <c r="J20" s="56">
        <v>14</v>
      </c>
      <c r="K20" s="20"/>
      <c r="L20" s="57">
        <f t="shared" si="1"/>
        <v>47</v>
      </c>
      <c r="M20" s="74">
        <v>10</v>
      </c>
      <c r="N20" s="74">
        <v>9</v>
      </c>
      <c r="O20" s="74">
        <v>10</v>
      </c>
      <c r="P20" s="74">
        <v>5</v>
      </c>
      <c r="Q20" s="31">
        <f t="shared" si="2"/>
        <v>34</v>
      </c>
      <c r="R20" s="74">
        <v>13</v>
      </c>
      <c r="S20" s="20"/>
      <c r="T20" s="33">
        <f t="shared" si="3"/>
        <v>47</v>
      </c>
      <c r="U20" s="73">
        <f t="shared" si="4"/>
        <v>94</v>
      </c>
      <c r="V20" s="93">
        <f t="shared" si="5"/>
        <v>4</v>
      </c>
      <c r="W20" s="18"/>
    </row>
    <row r="21" spans="1:23" ht="24" customHeight="1" x14ac:dyDescent="0.6">
      <c r="A21" s="17">
        <v>12</v>
      </c>
      <c r="B21" s="65"/>
      <c r="C21" s="84"/>
      <c r="D21" s="45"/>
      <c r="E21" s="53">
        <v>9</v>
      </c>
      <c r="F21" s="48">
        <v>9</v>
      </c>
      <c r="G21" s="46">
        <v>10</v>
      </c>
      <c r="H21" s="46">
        <v>5</v>
      </c>
      <c r="I21" s="39">
        <f t="shared" si="0"/>
        <v>33</v>
      </c>
      <c r="J21" s="56">
        <v>15</v>
      </c>
      <c r="K21" s="20"/>
      <c r="L21" s="57">
        <f t="shared" si="1"/>
        <v>48</v>
      </c>
      <c r="M21" s="74">
        <v>10</v>
      </c>
      <c r="N21" s="74">
        <v>10</v>
      </c>
      <c r="O21" s="74">
        <v>10</v>
      </c>
      <c r="P21" s="74">
        <v>5</v>
      </c>
      <c r="Q21" s="31">
        <f t="shared" si="2"/>
        <v>35</v>
      </c>
      <c r="R21" s="74">
        <v>14</v>
      </c>
      <c r="S21" s="20"/>
      <c r="T21" s="33">
        <f t="shared" si="3"/>
        <v>49</v>
      </c>
      <c r="U21" s="73">
        <f t="shared" si="4"/>
        <v>97</v>
      </c>
      <c r="V21" s="93">
        <f t="shared" si="5"/>
        <v>4</v>
      </c>
      <c r="W21" s="18"/>
    </row>
    <row r="22" spans="1:23" ht="24" customHeight="1" x14ac:dyDescent="0.6">
      <c r="A22" s="17">
        <v>13</v>
      </c>
      <c r="B22" s="65"/>
      <c r="C22" s="84"/>
      <c r="D22" s="45"/>
      <c r="E22" s="53">
        <v>9</v>
      </c>
      <c r="F22" s="48">
        <v>9</v>
      </c>
      <c r="G22" s="46">
        <v>9</v>
      </c>
      <c r="H22" s="46">
        <v>5</v>
      </c>
      <c r="I22" s="39">
        <f t="shared" si="0"/>
        <v>32</v>
      </c>
      <c r="J22" s="56">
        <v>13</v>
      </c>
      <c r="K22" s="20"/>
      <c r="L22" s="57">
        <f t="shared" si="1"/>
        <v>45</v>
      </c>
      <c r="M22" s="74">
        <v>9</v>
      </c>
      <c r="N22" s="74">
        <v>10</v>
      </c>
      <c r="O22" s="74">
        <v>9</v>
      </c>
      <c r="P22" s="74">
        <v>5</v>
      </c>
      <c r="Q22" s="31">
        <f t="shared" si="2"/>
        <v>33</v>
      </c>
      <c r="R22" s="74">
        <v>14</v>
      </c>
      <c r="S22" s="20"/>
      <c r="T22" s="33">
        <f t="shared" si="3"/>
        <v>47</v>
      </c>
      <c r="U22" s="73">
        <f t="shared" si="4"/>
        <v>92</v>
      </c>
      <c r="V22" s="93">
        <f t="shared" si="5"/>
        <v>4</v>
      </c>
      <c r="W22" s="18"/>
    </row>
    <row r="23" spans="1:23" ht="24" customHeight="1" x14ac:dyDescent="0.6">
      <c r="A23" s="17">
        <v>14</v>
      </c>
      <c r="B23" s="65"/>
      <c r="C23" s="84"/>
      <c r="D23" s="45"/>
      <c r="E23" s="53">
        <v>9</v>
      </c>
      <c r="F23" s="48">
        <v>10</v>
      </c>
      <c r="G23" s="46">
        <v>9</v>
      </c>
      <c r="H23" s="46">
        <v>5</v>
      </c>
      <c r="I23" s="39">
        <f t="shared" si="0"/>
        <v>33</v>
      </c>
      <c r="J23" s="56">
        <v>15</v>
      </c>
      <c r="K23" s="20"/>
      <c r="L23" s="57">
        <f t="shared" si="1"/>
        <v>48</v>
      </c>
      <c r="M23" s="74">
        <v>10</v>
      </c>
      <c r="N23" s="74">
        <v>10</v>
      </c>
      <c r="O23" s="74">
        <v>10</v>
      </c>
      <c r="P23" s="74">
        <v>5</v>
      </c>
      <c r="Q23" s="31">
        <f t="shared" si="2"/>
        <v>35</v>
      </c>
      <c r="R23" s="74">
        <v>15</v>
      </c>
      <c r="S23" s="20"/>
      <c r="T23" s="33">
        <f t="shared" si="3"/>
        <v>50</v>
      </c>
      <c r="U23" s="73">
        <f t="shared" si="4"/>
        <v>98</v>
      </c>
      <c r="V23" s="93">
        <f t="shared" si="5"/>
        <v>4</v>
      </c>
      <c r="W23" s="18"/>
    </row>
    <row r="24" spans="1:23" ht="24" customHeight="1" x14ac:dyDescent="0.6">
      <c r="A24" s="17">
        <v>15</v>
      </c>
      <c r="B24" s="65"/>
      <c r="C24" s="84"/>
      <c r="D24" s="45"/>
      <c r="E24" s="53">
        <v>10</v>
      </c>
      <c r="F24" s="48">
        <v>10</v>
      </c>
      <c r="G24" s="46">
        <v>9</v>
      </c>
      <c r="H24" s="46">
        <v>5</v>
      </c>
      <c r="I24" s="39">
        <f t="shared" si="0"/>
        <v>34</v>
      </c>
      <c r="J24" s="56">
        <v>15</v>
      </c>
      <c r="K24" s="20"/>
      <c r="L24" s="57">
        <f t="shared" si="1"/>
        <v>49</v>
      </c>
      <c r="M24" s="74">
        <v>10</v>
      </c>
      <c r="N24" s="74">
        <v>10</v>
      </c>
      <c r="O24" s="74">
        <v>10</v>
      </c>
      <c r="P24" s="74">
        <v>5</v>
      </c>
      <c r="Q24" s="31">
        <f t="shared" si="2"/>
        <v>35</v>
      </c>
      <c r="R24" s="74">
        <v>5</v>
      </c>
      <c r="S24" s="20"/>
      <c r="T24" s="33">
        <f t="shared" si="3"/>
        <v>40</v>
      </c>
      <c r="U24" s="73">
        <f t="shared" si="4"/>
        <v>89</v>
      </c>
      <c r="V24" s="93">
        <f t="shared" si="5"/>
        <v>4</v>
      </c>
      <c r="W24" s="18"/>
    </row>
    <row r="25" spans="1:23" ht="24" customHeight="1" x14ac:dyDescent="0.6">
      <c r="A25" s="17">
        <v>16</v>
      </c>
      <c r="B25" s="65"/>
      <c r="C25" s="84"/>
      <c r="D25" s="45"/>
      <c r="E25" s="53">
        <v>9</v>
      </c>
      <c r="F25" s="48">
        <v>10</v>
      </c>
      <c r="G25" s="46">
        <v>9</v>
      </c>
      <c r="H25" s="46">
        <v>5</v>
      </c>
      <c r="I25" s="39">
        <f t="shared" si="0"/>
        <v>33</v>
      </c>
      <c r="J25" s="56">
        <v>14</v>
      </c>
      <c r="K25" s="20"/>
      <c r="L25" s="57">
        <f t="shared" si="1"/>
        <v>47</v>
      </c>
      <c r="M25" s="74">
        <v>10</v>
      </c>
      <c r="N25" s="74">
        <v>9</v>
      </c>
      <c r="O25" s="74">
        <v>10</v>
      </c>
      <c r="P25" s="74">
        <v>5</v>
      </c>
      <c r="Q25" s="31">
        <f t="shared" si="2"/>
        <v>34</v>
      </c>
      <c r="R25" s="74">
        <v>15</v>
      </c>
      <c r="S25" s="20"/>
      <c r="T25" s="33">
        <f t="shared" si="3"/>
        <v>49</v>
      </c>
      <c r="U25" s="73">
        <f t="shared" si="4"/>
        <v>96</v>
      </c>
      <c r="V25" s="93">
        <f t="shared" si="5"/>
        <v>4</v>
      </c>
      <c r="W25" s="18"/>
    </row>
    <row r="26" spans="1:23" ht="24" customHeight="1" x14ac:dyDescent="0.6">
      <c r="A26" s="17">
        <v>17</v>
      </c>
      <c r="B26" s="65"/>
      <c r="C26" s="84"/>
      <c r="D26" s="45"/>
      <c r="E26" s="53">
        <v>10</v>
      </c>
      <c r="F26" s="48">
        <v>8</v>
      </c>
      <c r="G26" s="46">
        <v>9</v>
      </c>
      <c r="H26" s="46">
        <v>5</v>
      </c>
      <c r="I26" s="39">
        <f t="shared" si="0"/>
        <v>32</v>
      </c>
      <c r="J26" s="56">
        <v>14</v>
      </c>
      <c r="K26" s="20"/>
      <c r="L26" s="57">
        <f t="shared" si="1"/>
        <v>46</v>
      </c>
      <c r="M26" s="74">
        <v>10</v>
      </c>
      <c r="N26" s="74">
        <v>9</v>
      </c>
      <c r="O26" s="74">
        <v>10</v>
      </c>
      <c r="P26" s="74">
        <v>5</v>
      </c>
      <c r="Q26" s="31">
        <f t="shared" si="2"/>
        <v>34</v>
      </c>
      <c r="R26" s="74">
        <v>13</v>
      </c>
      <c r="S26" s="20"/>
      <c r="T26" s="33">
        <f t="shared" si="3"/>
        <v>47</v>
      </c>
      <c r="U26" s="73">
        <f t="shared" si="4"/>
        <v>93</v>
      </c>
      <c r="V26" s="93">
        <f t="shared" si="5"/>
        <v>4</v>
      </c>
      <c r="W26" s="18"/>
    </row>
    <row r="27" spans="1:23" ht="24" customHeight="1" x14ac:dyDescent="0.6">
      <c r="A27" s="17">
        <v>18</v>
      </c>
      <c r="B27" s="65"/>
      <c r="C27" s="84"/>
      <c r="D27" s="45"/>
      <c r="E27" s="53">
        <v>10</v>
      </c>
      <c r="F27" s="48">
        <v>9</v>
      </c>
      <c r="G27" s="46">
        <v>10</v>
      </c>
      <c r="H27" s="46">
        <v>5</v>
      </c>
      <c r="I27" s="39">
        <f t="shared" si="0"/>
        <v>34</v>
      </c>
      <c r="J27" s="56">
        <v>15</v>
      </c>
      <c r="K27" s="20"/>
      <c r="L27" s="57">
        <f t="shared" si="1"/>
        <v>49</v>
      </c>
      <c r="M27" s="74">
        <v>10</v>
      </c>
      <c r="N27" s="74">
        <v>10</v>
      </c>
      <c r="O27" s="74">
        <v>10</v>
      </c>
      <c r="P27" s="74">
        <v>5</v>
      </c>
      <c r="Q27" s="31">
        <f t="shared" si="2"/>
        <v>35</v>
      </c>
      <c r="R27" s="74">
        <v>12</v>
      </c>
      <c r="S27" s="20"/>
      <c r="T27" s="33">
        <f t="shared" si="3"/>
        <v>47</v>
      </c>
      <c r="U27" s="73">
        <f t="shared" si="4"/>
        <v>96</v>
      </c>
      <c r="V27" s="93">
        <f t="shared" si="5"/>
        <v>4</v>
      </c>
      <c r="W27" s="18"/>
    </row>
    <row r="28" spans="1:23" ht="24" customHeight="1" x14ac:dyDescent="0.6">
      <c r="A28" s="17">
        <v>19</v>
      </c>
      <c r="B28" s="65"/>
      <c r="C28" s="84"/>
      <c r="D28" s="45"/>
      <c r="E28" s="53">
        <v>10</v>
      </c>
      <c r="F28" s="48">
        <v>8</v>
      </c>
      <c r="G28" s="46">
        <v>10</v>
      </c>
      <c r="H28" s="46">
        <v>5</v>
      </c>
      <c r="I28" s="39">
        <f t="shared" si="0"/>
        <v>33</v>
      </c>
      <c r="J28" s="56">
        <v>14</v>
      </c>
      <c r="K28" s="20"/>
      <c r="L28" s="57">
        <f t="shared" si="1"/>
        <v>47</v>
      </c>
      <c r="M28" s="74">
        <v>10</v>
      </c>
      <c r="N28" s="74">
        <v>9</v>
      </c>
      <c r="O28" s="74">
        <v>10</v>
      </c>
      <c r="P28" s="74">
        <v>5</v>
      </c>
      <c r="Q28" s="31">
        <f t="shared" si="2"/>
        <v>34</v>
      </c>
      <c r="R28" s="74">
        <v>14</v>
      </c>
      <c r="S28" s="20"/>
      <c r="T28" s="33">
        <f t="shared" si="3"/>
        <v>48</v>
      </c>
      <c r="U28" s="73">
        <f t="shared" si="4"/>
        <v>95</v>
      </c>
      <c r="V28" s="93">
        <f t="shared" si="5"/>
        <v>4</v>
      </c>
      <c r="W28" s="18"/>
    </row>
    <row r="29" spans="1:23" ht="24" customHeight="1" x14ac:dyDescent="0.6">
      <c r="A29" s="17">
        <v>20</v>
      </c>
      <c r="B29" s="65"/>
      <c r="C29" s="84"/>
      <c r="D29" s="45"/>
      <c r="E29" s="53">
        <v>9</v>
      </c>
      <c r="F29" s="48">
        <v>9</v>
      </c>
      <c r="G29" s="46">
        <v>10</v>
      </c>
      <c r="H29" s="46">
        <v>5</v>
      </c>
      <c r="I29" s="39">
        <f t="shared" si="0"/>
        <v>33</v>
      </c>
      <c r="J29" s="56">
        <v>15</v>
      </c>
      <c r="K29" s="20"/>
      <c r="L29" s="57">
        <f t="shared" si="1"/>
        <v>48</v>
      </c>
      <c r="M29" s="74">
        <v>10</v>
      </c>
      <c r="N29" s="74">
        <v>10</v>
      </c>
      <c r="O29" s="74">
        <v>10</v>
      </c>
      <c r="P29" s="74">
        <v>5</v>
      </c>
      <c r="Q29" s="31">
        <f t="shared" si="2"/>
        <v>35</v>
      </c>
      <c r="R29" s="74">
        <v>15</v>
      </c>
      <c r="S29" s="20"/>
      <c r="T29" s="33">
        <f t="shared" si="3"/>
        <v>50</v>
      </c>
      <c r="U29" s="73">
        <f t="shared" si="4"/>
        <v>98</v>
      </c>
      <c r="V29" s="93">
        <f t="shared" si="5"/>
        <v>4</v>
      </c>
      <c r="W29" s="18"/>
    </row>
    <row r="30" spans="1:23" ht="24" customHeight="1" x14ac:dyDescent="0.6">
      <c r="A30" s="17">
        <v>21</v>
      </c>
      <c r="B30" s="67"/>
      <c r="C30" s="86"/>
      <c r="D30" s="49"/>
      <c r="E30" s="53">
        <v>10</v>
      </c>
      <c r="F30" s="48">
        <v>10</v>
      </c>
      <c r="G30" s="46">
        <v>10</v>
      </c>
      <c r="H30" s="46">
        <v>5</v>
      </c>
      <c r="I30" s="39">
        <f t="shared" si="0"/>
        <v>35</v>
      </c>
      <c r="J30" s="56">
        <v>15</v>
      </c>
      <c r="K30" s="20"/>
      <c r="L30" s="57">
        <f t="shared" si="1"/>
        <v>50</v>
      </c>
      <c r="M30" s="74">
        <v>10</v>
      </c>
      <c r="N30" s="74">
        <v>10</v>
      </c>
      <c r="O30" s="74">
        <v>10</v>
      </c>
      <c r="P30" s="74">
        <v>5</v>
      </c>
      <c r="Q30" s="31">
        <f t="shared" si="2"/>
        <v>35</v>
      </c>
      <c r="R30" s="74">
        <v>12</v>
      </c>
      <c r="S30" s="20"/>
      <c r="T30" s="33">
        <f t="shared" si="3"/>
        <v>47</v>
      </c>
      <c r="U30" s="73">
        <f t="shared" si="4"/>
        <v>97</v>
      </c>
      <c r="V30" s="93">
        <f t="shared" si="5"/>
        <v>4</v>
      </c>
      <c r="W30" s="18"/>
    </row>
    <row r="31" spans="1:23" ht="24" customHeight="1" x14ac:dyDescent="0.6">
      <c r="A31" s="17">
        <v>22</v>
      </c>
      <c r="B31" s="65"/>
      <c r="C31" s="84"/>
      <c r="D31" s="45"/>
      <c r="E31" s="53">
        <v>9</v>
      </c>
      <c r="F31" s="48">
        <v>10</v>
      </c>
      <c r="G31" s="46">
        <v>10</v>
      </c>
      <c r="H31" s="46">
        <v>5</v>
      </c>
      <c r="I31" s="39">
        <f t="shared" si="0"/>
        <v>34</v>
      </c>
      <c r="J31" s="56">
        <v>12</v>
      </c>
      <c r="K31" s="20"/>
      <c r="L31" s="57">
        <f t="shared" si="1"/>
        <v>46</v>
      </c>
      <c r="M31" s="74">
        <v>9</v>
      </c>
      <c r="N31" s="74">
        <v>9</v>
      </c>
      <c r="O31" s="74">
        <v>9</v>
      </c>
      <c r="P31" s="74">
        <v>5</v>
      </c>
      <c r="Q31" s="31">
        <f t="shared" si="2"/>
        <v>32</v>
      </c>
      <c r="R31" s="74">
        <v>14</v>
      </c>
      <c r="S31" s="20"/>
      <c r="T31" s="33">
        <f t="shared" si="3"/>
        <v>46</v>
      </c>
      <c r="U31" s="73">
        <f t="shared" si="4"/>
        <v>92</v>
      </c>
      <c r="V31" s="93">
        <f t="shared" si="5"/>
        <v>4</v>
      </c>
      <c r="W31" s="18"/>
    </row>
    <row r="32" spans="1:23" ht="24" customHeight="1" x14ac:dyDescent="0.6">
      <c r="A32" s="17">
        <v>23</v>
      </c>
      <c r="B32" s="65"/>
      <c r="C32" s="84"/>
      <c r="D32" s="45"/>
      <c r="E32" s="53">
        <v>9</v>
      </c>
      <c r="F32" s="48">
        <v>10</v>
      </c>
      <c r="G32" s="46">
        <v>10</v>
      </c>
      <c r="H32" s="46">
        <v>5</v>
      </c>
      <c r="I32" s="39">
        <f t="shared" ref="I32:I38" si="6">SUM(E32:H32)</f>
        <v>34</v>
      </c>
      <c r="J32" s="110">
        <v>11</v>
      </c>
      <c r="K32" s="20"/>
      <c r="L32" s="57">
        <f t="shared" si="1"/>
        <v>45</v>
      </c>
      <c r="M32" s="76">
        <v>9</v>
      </c>
      <c r="N32" s="76">
        <v>8</v>
      </c>
      <c r="O32" s="76">
        <v>9</v>
      </c>
      <c r="P32" s="76">
        <v>5</v>
      </c>
      <c r="Q32" s="31">
        <f t="shared" si="2"/>
        <v>31</v>
      </c>
      <c r="R32" s="76">
        <v>11</v>
      </c>
      <c r="S32" s="20"/>
      <c r="T32" s="33">
        <f t="shared" si="3"/>
        <v>42</v>
      </c>
      <c r="U32" s="73">
        <f t="shared" si="4"/>
        <v>87</v>
      </c>
      <c r="V32" s="93">
        <f t="shared" si="5"/>
        <v>4</v>
      </c>
      <c r="W32" s="18"/>
    </row>
    <row r="33" spans="1:23" ht="24" customHeight="1" x14ac:dyDescent="0.6">
      <c r="A33" s="17">
        <v>24</v>
      </c>
      <c r="B33" s="65"/>
      <c r="C33" s="84"/>
      <c r="D33" s="45"/>
      <c r="E33" s="53">
        <v>10</v>
      </c>
      <c r="F33" s="48">
        <v>10</v>
      </c>
      <c r="G33" s="46">
        <v>9</v>
      </c>
      <c r="H33" s="46">
        <v>5</v>
      </c>
      <c r="I33" s="39">
        <f t="shared" si="6"/>
        <v>34</v>
      </c>
      <c r="J33" s="56">
        <v>11</v>
      </c>
      <c r="K33" s="20"/>
      <c r="L33" s="57">
        <f t="shared" si="1"/>
        <v>45</v>
      </c>
      <c r="M33" s="74">
        <v>9</v>
      </c>
      <c r="N33" s="74">
        <v>8</v>
      </c>
      <c r="O33" s="74">
        <v>9</v>
      </c>
      <c r="P33" s="74">
        <v>5</v>
      </c>
      <c r="Q33" s="31">
        <f t="shared" si="2"/>
        <v>31</v>
      </c>
      <c r="R33" s="74">
        <v>14</v>
      </c>
      <c r="S33" s="20"/>
      <c r="T33" s="33">
        <f t="shared" si="3"/>
        <v>45</v>
      </c>
      <c r="U33" s="73">
        <f t="shared" si="4"/>
        <v>90</v>
      </c>
      <c r="V33" s="93">
        <f t="shared" si="5"/>
        <v>4</v>
      </c>
      <c r="W33" s="18"/>
    </row>
    <row r="34" spans="1:23" ht="24" customHeight="1" x14ac:dyDescent="0.6">
      <c r="A34" s="17">
        <v>25</v>
      </c>
      <c r="B34" s="65"/>
      <c r="C34" s="84"/>
      <c r="D34" s="45"/>
      <c r="E34" s="53">
        <v>9</v>
      </c>
      <c r="F34" s="48">
        <v>9</v>
      </c>
      <c r="G34" s="46">
        <v>10</v>
      </c>
      <c r="H34" s="46">
        <v>5</v>
      </c>
      <c r="I34" s="39">
        <f t="shared" si="6"/>
        <v>33</v>
      </c>
      <c r="J34" s="56">
        <v>14</v>
      </c>
      <c r="K34" s="20"/>
      <c r="L34" s="57">
        <f t="shared" si="1"/>
        <v>47</v>
      </c>
      <c r="M34" s="74">
        <v>10</v>
      </c>
      <c r="N34" s="74">
        <v>9</v>
      </c>
      <c r="O34" s="74">
        <v>10</v>
      </c>
      <c r="P34" s="74">
        <v>5</v>
      </c>
      <c r="Q34" s="31">
        <f t="shared" si="2"/>
        <v>34</v>
      </c>
      <c r="R34" s="74">
        <v>12</v>
      </c>
      <c r="S34" s="20"/>
      <c r="T34" s="33">
        <f t="shared" si="3"/>
        <v>46</v>
      </c>
      <c r="U34" s="73">
        <f t="shared" si="4"/>
        <v>93</v>
      </c>
      <c r="V34" s="93">
        <f t="shared" si="5"/>
        <v>4</v>
      </c>
      <c r="W34" s="18"/>
    </row>
    <row r="35" spans="1:23" ht="24" customHeight="1" x14ac:dyDescent="0.6">
      <c r="A35" s="17">
        <v>26</v>
      </c>
      <c r="B35" s="65"/>
      <c r="C35" s="84"/>
      <c r="D35" s="45"/>
      <c r="E35" s="53">
        <v>10</v>
      </c>
      <c r="F35" s="48">
        <v>10</v>
      </c>
      <c r="G35" s="46">
        <v>9</v>
      </c>
      <c r="H35" s="46">
        <v>5</v>
      </c>
      <c r="I35" s="39">
        <f t="shared" si="6"/>
        <v>34</v>
      </c>
      <c r="J35" s="56">
        <v>14</v>
      </c>
      <c r="K35" s="20"/>
      <c r="L35" s="57">
        <f t="shared" si="1"/>
        <v>48</v>
      </c>
      <c r="M35" s="74">
        <v>10</v>
      </c>
      <c r="N35" s="74">
        <v>9</v>
      </c>
      <c r="O35" s="74">
        <v>10</v>
      </c>
      <c r="P35" s="74">
        <v>5</v>
      </c>
      <c r="Q35" s="31">
        <f t="shared" si="2"/>
        <v>34</v>
      </c>
      <c r="R35" s="74">
        <v>15</v>
      </c>
      <c r="S35" s="20"/>
      <c r="T35" s="33">
        <f t="shared" si="3"/>
        <v>49</v>
      </c>
      <c r="U35" s="73">
        <f t="shared" si="4"/>
        <v>97</v>
      </c>
      <c r="V35" s="93">
        <f t="shared" si="5"/>
        <v>4</v>
      </c>
      <c r="W35" s="18"/>
    </row>
    <row r="36" spans="1:23" ht="24" customHeight="1" x14ac:dyDescent="0.6">
      <c r="A36" s="17">
        <v>27</v>
      </c>
      <c r="B36" s="65"/>
      <c r="C36" s="84"/>
      <c r="D36" s="45"/>
      <c r="E36" s="53">
        <v>9</v>
      </c>
      <c r="F36" s="48">
        <v>10</v>
      </c>
      <c r="G36" s="46">
        <v>9</v>
      </c>
      <c r="H36" s="46">
        <v>5</v>
      </c>
      <c r="I36" s="39">
        <f t="shared" si="6"/>
        <v>33</v>
      </c>
      <c r="J36" s="56">
        <v>12</v>
      </c>
      <c r="K36" s="20"/>
      <c r="L36" s="57">
        <f t="shared" si="1"/>
        <v>45</v>
      </c>
      <c r="M36" s="74">
        <v>9</v>
      </c>
      <c r="N36" s="74">
        <v>9</v>
      </c>
      <c r="O36" s="74">
        <v>9</v>
      </c>
      <c r="P36" s="74">
        <v>5</v>
      </c>
      <c r="Q36" s="31">
        <f t="shared" si="2"/>
        <v>32</v>
      </c>
      <c r="R36" s="74">
        <v>14</v>
      </c>
      <c r="S36" s="20"/>
      <c r="T36" s="33">
        <f t="shared" si="3"/>
        <v>46</v>
      </c>
      <c r="U36" s="73">
        <f t="shared" si="4"/>
        <v>91</v>
      </c>
      <c r="V36" s="93">
        <f t="shared" si="5"/>
        <v>4</v>
      </c>
      <c r="W36" s="18"/>
    </row>
    <row r="37" spans="1:23" ht="24" customHeight="1" x14ac:dyDescent="0.6">
      <c r="A37" s="17">
        <v>28</v>
      </c>
      <c r="B37" s="67"/>
      <c r="C37" s="86"/>
      <c r="D37" s="49"/>
      <c r="E37" s="95">
        <v>9</v>
      </c>
      <c r="F37" s="96">
        <v>10</v>
      </c>
      <c r="G37" s="97">
        <v>9</v>
      </c>
      <c r="H37" s="97">
        <v>5</v>
      </c>
      <c r="I37" s="39">
        <f t="shared" si="6"/>
        <v>33</v>
      </c>
      <c r="J37" s="56">
        <v>12</v>
      </c>
      <c r="K37" s="20"/>
      <c r="L37" s="57">
        <f t="shared" si="1"/>
        <v>45</v>
      </c>
      <c r="M37" s="74">
        <v>9</v>
      </c>
      <c r="N37" s="74">
        <v>9</v>
      </c>
      <c r="O37" s="74">
        <v>9</v>
      </c>
      <c r="P37" s="74">
        <v>5</v>
      </c>
      <c r="Q37" s="31">
        <f t="shared" si="2"/>
        <v>32</v>
      </c>
      <c r="R37" s="74">
        <v>11</v>
      </c>
      <c r="S37" s="20"/>
      <c r="T37" s="33">
        <f t="shared" si="3"/>
        <v>43</v>
      </c>
      <c r="U37" s="73">
        <f t="shared" si="4"/>
        <v>88</v>
      </c>
      <c r="V37" s="93">
        <f>IF(U38&gt;=80,4,
IF(U38&gt;=75,3.5,
IF(U38&gt;=70,3,
IF(U38&gt;=65,2.5,
IF(U38&gt;=60,2,
IF(U38&gt;=55,1.5,
IF(U38&gt;=50,1,0)))))))</f>
        <v>4</v>
      </c>
      <c r="W37" s="18"/>
    </row>
    <row r="38" spans="1:23" ht="24" customHeight="1" x14ac:dyDescent="0.25">
      <c r="A38" s="17">
        <v>29</v>
      </c>
      <c r="B38" s="68"/>
      <c r="C38" s="121"/>
      <c r="D38" s="105"/>
      <c r="E38" s="68">
        <v>9</v>
      </c>
      <c r="F38" s="68">
        <v>9</v>
      </c>
      <c r="G38" s="68">
        <v>9</v>
      </c>
      <c r="H38" s="68">
        <v>5</v>
      </c>
      <c r="I38" s="39">
        <f t="shared" si="6"/>
        <v>32</v>
      </c>
      <c r="J38" s="108">
        <v>14</v>
      </c>
      <c r="K38" s="20"/>
      <c r="L38" s="57">
        <f t="shared" si="1"/>
        <v>46</v>
      </c>
      <c r="M38" s="74">
        <v>10</v>
      </c>
      <c r="N38" s="74">
        <v>9</v>
      </c>
      <c r="O38" s="74">
        <v>10</v>
      </c>
      <c r="P38" s="74">
        <v>5</v>
      </c>
      <c r="Q38" s="31">
        <f t="shared" si="2"/>
        <v>34</v>
      </c>
      <c r="R38" s="74">
        <v>13</v>
      </c>
      <c r="S38" s="20"/>
      <c r="T38" s="33">
        <f t="shared" si="3"/>
        <v>47</v>
      </c>
      <c r="U38" s="73">
        <f t="shared" si="4"/>
        <v>93</v>
      </c>
      <c r="V38" s="93">
        <f>IF(U38&gt;=80,4,
IF(U38&gt;=75,3.5,
IF(U38&gt;=70,3,
IF(U38&gt;=65,2.5,
IF(U38&gt;=60,2,
IF(U38&gt;=55,1.5,
IF(U38&gt;=50,1,0)))))))</f>
        <v>4</v>
      </c>
      <c r="W38" s="18"/>
    </row>
    <row r="39" spans="1:23" ht="24" customHeight="1" x14ac:dyDescent="0.6">
      <c r="A39" s="17">
        <v>30</v>
      </c>
      <c r="B39" s="98"/>
      <c r="C39" s="99"/>
      <c r="D39" s="100"/>
      <c r="E39" s="101"/>
      <c r="F39" s="102"/>
      <c r="G39" s="103"/>
      <c r="H39" s="103"/>
      <c r="I39" s="109"/>
      <c r="J39" s="56"/>
      <c r="K39" s="20"/>
      <c r="L39" s="57"/>
      <c r="M39" s="74"/>
      <c r="N39" s="74"/>
      <c r="O39" s="74"/>
      <c r="P39" s="74"/>
      <c r="Q39" s="31"/>
      <c r="R39" s="74"/>
      <c r="S39" s="20"/>
      <c r="T39" s="33"/>
      <c r="U39" s="73"/>
      <c r="V39" s="93">
        <f t="shared" si="5"/>
        <v>0</v>
      </c>
      <c r="W39" s="18"/>
    </row>
    <row r="40" spans="1:23" ht="24" customHeight="1" x14ac:dyDescent="0.6">
      <c r="A40" s="17">
        <v>31</v>
      </c>
      <c r="B40" s="65"/>
      <c r="C40" s="84"/>
      <c r="D40" s="45"/>
      <c r="E40" s="53"/>
      <c r="F40" s="48"/>
      <c r="G40" s="46"/>
      <c r="H40" s="46"/>
      <c r="I40" s="39"/>
      <c r="J40" s="56"/>
      <c r="K40" s="20"/>
      <c r="L40" s="57"/>
      <c r="M40" s="74"/>
      <c r="N40" s="74"/>
      <c r="O40" s="74"/>
      <c r="P40" s="74"/>
      <c r="Q40" s="31"/>
      <c r="R40" s="74"/>
      <c r="S40" s="20"/>
      <c r="T40" s="33"/>
      <c r="U40" s="73"/>
      <c r="V40" s="93">
        <f t="shared" si="5"/>
        <v>0</v>
      </c>
      <c r="W40" s="18"/>
    </row>
    <row r="41" spans="1:23" x14ac:dyDescent="0.6">
      <c r="A41" s="17">
        <v>32</v>
      </c>
      <c r="B41" s="68"/>
      <c r="C41" s="84"/>
      <c r="D41" s="50"/>
      <c r="E41" s="53"/>
      <c r="F41" s="48"/>
      <c r="G41" s="46"/>
      <c r="H41" s="46"/>
      <c r="I41" s="39"/>
      <c r="J41" s="56"/>
      <c r="K41" s="20"/>
      <c r="L41" s="57"/>
      <c r="M41" s="74"/>
      <c r="N41" s="74"/>
      <c r="O41" s="74"/>
      <c r="P41" s="74"/>
      <c r="Q41" s="31"/>
      <c r="R41" s="74"/>
      <c r="S41" s="20"/>
      <c r="T41" s="33"/>
      <c r="U41" s="73"/>
      <c r="V41" s="93">
        <f t="shared" si="5"/>
        <v>0</v>
      </c>
    </row>
    <row r="42" spans="1:23" x14ac:dyDescent="0.6">
      <c r="A42" s="17">
        <v>33</v>
      </c>
      <c r="B42" s="68"/>
      <c r="C42" s="84"/>
      <c r="D42" s="50"/>
      <c r="E42" s="53"/>
      <c r="F42" s="48"/>
      <c r="G42" s="46"/>
      <c r="H42" s="46"/>
      <c r="I42" s="39"/>
      <c r="J42" s="56"/>
      <c r="K42" s="20"/>
      <c r="L42" s="57"/>
      <c r="M42" s="74"/>
      <c r="N42" s="74"/>
      <c r="O42" s="74"/>
      <c r="P42" s="74"/>
      <c r="Q42" s="31"/>
      <c r="R42" s="75"/>
      <c r="S42" s="20"/>
      <c r="T42" s="33"/>
      <c r="U42" s="73"/>
      <c r="V42" s="93">
        <f t="shared" si="5"/>
        <v>0</v>
      </c>
    </row>
    <row r="43" spans="1:23" x14ac:dyDescent="0.6">
      <c r="A43" s="17">
        <v>34</v>
      </c>
      <c r="B43" s="68"/>
      <c r="C43" s="84"/>
      <c r="D43" s="50"/>
      <c r="E43" s="53"/>
      <c r="F43" s="48"/>
      <c r="G43" s="46"/>
      <c r="H43" s="46"/>
      <c r="I43" s="39"/>
      <c r="J43" s="56"/>
      <c r="K43" s="20"/>
      <c r="L43" s="57"/>
      <c r="M43" s="74"/>
      <c r="N43" s="74"/>
      <c r="O43" s="74"/>
      <c r="P43" s="74"/>
      <c r="Q43" s="31"/>
      <c r="R43" s="74"/>
      <c r="S43" s="20"/>
      <c r="T43" s="33"/>
      <c r="U43" s="73"/>
      <c r="V43" s="93">
        <f t="shared" si="5"/>
        <v>0</v>
      </c>
    </row>
    <row r="44" spans="1:23" x14ac:dyDescent="0.6">
      <c r="A44" s="17">
        <v>35</v>
      </c>
      <c r="B44" s="68"/>
      <c r="C44" s="84"/>
      <c r="D44" s="50"/>
      <c r="E44" s="53"/>
      <c r="F44" s="48"/>
      <c r="G44" s="46"/>
      <c r="H44" s="46"/>
      <c r="I44" s="39"/>
      <c r="J44" s="56"/>
      <c r="K44" s="20"/>
      <c r="L44" s="57"/>
      <c r="M44" s="74"/>
      <c r="N44" s="74"/>
      <c r="O44" s="74"/>
      <c r="P44" s="74"/>
      <c r="Q44" s="31"/>
      <c r="R44" s="74"/>
      <c r="S44" s="20"/>
      <c r="T44" s="33"/>
      <c r="U44" s="73"/>
      <c r="V44" s="93">
        <f t="shared" si="5"/>
        <v>0</v>
      </c>
    </row>
    <row r="45" spans="1:23" x14ac:dyDescent="0.6">
      <c r="A45" s="17">
        <v>36</v>
      </c>
      <c r="B45" s="68"/>
      <c r="C45" s="84"/>
      <c r="D45" s="50"/>
      <c r="E45" s="53"/>
      <c r="F45" s="48"/>
      <c r="G45" s="46"/>
      <c r="H45" s="46"/>
      <c r="I45" s="39"/>
      <c r="J45" s="56"/>
      <c r="K45" s="20"/>
      <c r="L45" s="57"/>
      <c r="M45" s="74"/>
      <c r="N45" s="74"/>
      <c r="O45" s="74"/>
      <c r="P45" s="74"/>
      <c r="Q45" s="31"/>
      <c r="R45" s="74"/>
      <c r="S45" s="20"/>
      <c r="T45" s="33"/>
      <c r="U45" s="73"/>
      <c r="V45" s="93">
        <f t="shared" si="5"/>
        <v>0</v>
      </c>
    </row>
    <row r="46" spans="1:23" x14ac:dyDescent="0.6">
      <c r="A46" s="17">
        <v>37</v>
      </c>
      <c r="B46" s="83"/>
      <c r="C46" s="87"/>
      <c r="D46" s="77"/>
      <c r="E46" s="78"/>
      <c r="F46" s="79"/>
      <c r="G46" s="80"/>
      <c r="H46" s="80"/>
      <c r="I46" s="39"/>
      <c r="J46" s="81"/>
      <c r="K46" s="20"/>
      <c r="L46" s="57"/>
      <c r="M46" s="82"/>
      <c r="N46" s="82"/>
      <c r="O46" s="82"/>
      <c r="P46" s="82"/>
      <c r="Q46" s="31"/>
      <c r="R46" s="82"/>
      <c r="S46" s="20"/>
      <c r="T46" s="33"/>
      <c r="U46" s="73"/>
      <c r="V46" s="93">
        <f t="shared" si="5"/>
        <v>0</v>
      </c>
    </row>
    <row r="47" spans="1:23" x14ac:dyDescent="0.6">
      <c r="A47" s="17">
        <v>38</v>
      </c>
      <c r="B47" s="69"/>
      <c r="C47" s="88"/>
      <c r="D47" s="61"/>
      <c r="E47" s="53"/>
      <c r="F47" s="48"/>
      <c r="G47" s="46"/>
      <c r="H47" s="46"/>
      <c r="I47" s="39"/>
      <c r="J47" s="56"/>
      <c r="K47" s="20"/>
      <c r="L47" s="57"/>
      <c r="M47" s="74"/>
      <c r="N47" s="74"/>
      <c r="O47" s="74"/>
      <c r="P47" s="74"/>
      <c r="Q47" s="31"/>
      <c r="R47" s="74"/>
      <c r="S47" s="20"/>
      <c r="T47" s="33"/>
      <c r="U47" s="73"/>
      <c r="V47" s="93">
        <f t="shared" si="5"/>
        <v>0</v>
      </c>
    </row>
    <row r="48" spans="1:23" x14ac:dyDescent="0.6">
      <c r="A48" s="17">
        <v>39</v>
      </c>
      <c r="B48" s="70"/>
      <c r="C48" s="86"/>
      <c r="D48" s="51"/>
      <c r="E48" s="53"/>
      <c r="F48" s="48"/>
      <c r="G48" s="46"/>
      <c r="H48" s="46"/>
      <c r="I48" s="39"/>
      <c r="J48" s="56"/>
      <c r="K48" s="20"/>
      <c r="L48" s="57"/>
      <c r="M48" s="74"/>
      <c r="N48" s="74"/>
      <c r="O48" s="74"/>
      <c r="P48" s="74"/>
      <c r="Q48" s="31"/>
      <c r="R48" s="74"/>
      <c r="S48" s="20"/>
      <c r="T48" s="33"/>
      <c r="U48" s="73"/>
      <c r="V48" s="93">
        <f t="shared" si="5"/>
        <v>0</v>
      </c>
    </row>
    <row r="49" spans="1:22" x14ac:dyDescent="0.6">
      <c r="A49" s="17">
        <v>40</v>
      </c>
      <c r="B49" s="68"/>
      <c r="C49" s="84"/>
      <c r="D49" s="50"/>
      <c r="E49" s="53"/>
      <c r="F49" s="48"/>
      <c r="G49" s="46"/>
      <c r="H49" s="46"/>
      <c r="I49" s="39"/>
      <c r="J49" s="56"/>
      <c r="K49" s="20"/>
      <c r="L49" s="57"/>
      <c r="M49" s="74"/>
      <c r="N49" s="74"/>
      <c r="O49" s="74"/>
      <c r="P49" s="74"/>
      <c r="Q49" s="31"/>
      <c r="R49" s="74"/>
      <c r="S49" s="20"/>
      <c r="T49" s="33"/>
      <c r="U49" s="73"/>
      <c r="V49" s="93">
        <f t="shared" si="5"/>
        <v>0</v>
      </c>
    </row>
    <row r="50" spans="1:22" x14ac:dyDescent="0.6">
      <c r="A50" s="17">
        <v>41</v>
      </c>
      <c r="B50" s="68"/>
      <c r="C50" s="84"/>
      <c r="D50" s="50"/>
      <c r="E50" s="53"/>
      <c r="F50" s="48"/>
      <c r="G50" s="46"/>
      <c r="H50" s="46"/>
      <c r="I50" s="39"/>
      <c r="J50" s="56"/>
      <c r="K50" s="20"/>
      <c r="L50" s="57"/>
      <c r="M50" s="74"/>
      <c r="N50" s="74"/>
      <c r="O50" s="74"/>
      <c r="P50" s="74"/>
      <c r="Q50" s="31"/>
      <c r="R50" s="74"/>
      <c r="S50" s="20"/>
      <c r="T50" s="33"/>
      <c r="U50" s="73"/>
      <c r="V50" s="93">
        <f t="shared" si="5"/>
        <v>0</v>
      </c>
    </row>
    <row r="51" spans="1:22" x14ac:dyDescent="0.6">
      <c r="A51" s="17">
        <v>42</v>
      </c>
      <c r="B51" s="68"/>
      <c r="C51" s="84"/>
      <c r="D51" s="50"/>
      <c r="E51" s="53"/>
      <c r="F51" s="48"/>
      <c r="G51" s="46"/>
      <c r="H51" s="46"/>
      <c r="I51" s="39"/>
      <c r="J51" s="56"/>
      <c r="K51" s="20"/>
      <c r="L51" s="57"/>
      <c r="M51" s="74"/>
      <c r="N51" s="74"/>
      <c r="O51" s="74"/>
      <c r="P51" s="74"/>
      <c r="Q51" s="31"/>
      <c r="R51" s="74"/>
      <c r="S51" s="20"/>
      <c r="T51" s="33"/>
      <c r="U51" s="73"/>
      <c r="V51" s="93">
        <f t="shared" si="5"/>
        <v>0</v>
      </c>
    </row>
    <row r="52" spans="1:22" x14ac:dyDescent="0.6">
      <c r="A52" s="17">
        <v>43</v>
      </c>
      <c r="B52" s="68"/>
      <c r="C52" s="84"/>
      <c r="D52" s="50"/>
      <c r="E52" s="53"/>
      <c r="F52" s="48"/>
      <c r="G52" s="46"/>
      <c r="H52" s="46"/>
      <c r="I52" s="39"/>
      <c r="J52" s="56"/>
      <c r="K52" s="20"/>
      <c r="L52" s="57"/>
      <c r="M52" s="74"/>
      <c r="N52" s="74"/>
      <c r="O52" s="74"/>
      <c r="P52" s="74"/>
      <c r="Q52" s="31"/>
      <c r="R52" s="74"/>
      <c r="S52" s="20"/>
      <c r="T52" s="33"/>
      <c r="U52" s="73"/>
      <c r="V52" s="93">
        <f t="shared" si="5"/>
        <v>0</v>
      </c>
    </row>
    <row r="53" spans="1:22" x14ac:dyDescent="0.6">
      <c r="A53" s="17">
        <v>44</v>
      </c>
      <c r="B53" s="68"/>
      <c r="C53" s="84"/>
      <c r="D53" s="50"/>
      <c r="E53" s="53"/>
      <c r="F53" s="48"/>
      <c r="G53" s="46"/>
      <c r="H53" s="46"/>
      <c r="I53" s="39"/>
      <c r="J53" s="56"/>
      <c r="K53" s="20"/>
      <c r="L53" s="57"/>
      <c r="M53" s="74"/>
      <c r="N53" s="74"/>
      <c r="O53" s="74"/>
      <c r="P53" s="74"/>
      <c r="Q53" s="31"/>
      <c r="R53" s="74"/>
      <c r="S53" s="20"/>
      <c r="T53" s="33"/>
      <c r="U53" s="73"/>
      <c r="V53" s="93">
        <f t="shared" si="5"/>
        <v>0</v>
      </c>
    </row>
    <row r="54" spans="1:22" x14ac:dyDescent="0.6">
      <c r="A54" s="17">
        <v>45</v>
      </c>
      <c r="B54" s="68"/>
      <c r="C54" s="84"/>
      <c r="D54" s="50"/>
      <c r="E54" s="54"/>
      <c r="F54" s="48"/>
      <c r="G54" s="46"/>
      <c r="H54" s="46"/>
      <c r="I54" s="39"/>
      <c r="J54" s="56"/>
      <c r="K54" s="20"/>
      <c r="L54" s="57"/>
      <c r="M54" s="74"/>
      <c r="N54" s="74"/>
      <c r="O54" s="74"/>
      <c r="P54" s="74"/>
      <c r="Q54" s="31"/>
      <c r="R54" s="74"/>
      <c r="S54" s="20"/>
      <c r="T54" s="33"/>
      <c r="U54" s="73"/>
      <c r="V54" s="93">
        <f t="shared" si="5"/>
        <v>0</v>
      </c>
    </row>
    <row r="55" spans="1:22" x14ac:dyDescent="0.6">
      <c r="A55" s="17">
        <v>46</v>
      </c>
      <c r="B55" s="68"/>
      <c r="C55" s="84"/>
      <c r="D55" s="50"/>
      <c r="E55" s="54"/>
      <c r="F55" s="48"/>
      <c r="G55" s="46"/>
      <c r="H55" s="46"/>
      <c r="I55" s="39"/>
      <c r="J55" s="56"/>
      <c r="K55" s="20"/>
      <c r="L55" s="57"/>
      <c r="M55" s="74"/>
      <c r="N55" s="74"/>
      <c r="O55" s="74"/>
      <c r="P55" s="74"/>
      <c r="Q55" s="31"/>
      <c r="R55" s="74"/>
      <c r="S55" s="20"/>
      <c r="T55" s="33"/>
      <c r="U55" s="73"/>
      <c r="V55" s="93">
        <f t="shared" si="5"/>
        <v>0</v>
      </c>
    </row>
  </sheetData>
  <mergeCells count="25">
    <mergeCell ref="D1:E1"/>
    <mergeCell ref="A3:U3"/>
    <mergeCell ref="A4:A9"/>
    <mergeCell ref="B4:D9"/>
    <mergeCell ref="E5:H5"/>
    <mergeCell ref="I5:I8"/>
    <mergeCell ref="J5:J8"/>
    <mergeCell ref="K5:K8"/>
    <mergeCell ref="L5:L8"/>
    <mergeCell ref="N7:N8"/>
    <mergeCell ref="M5:P5"/>
    <mergeCell ref="Q5:Q8"/>
    <mergeCell ref="R5:R8"/>
    <mergeCell ref="S5:S8"/>
    <mergeCell ref="E7:E8"/>
    <mergeCell ref="F7:F8"/>
    <mergeCell ref="V5:V9"/>
    <mergeCell ref="E4:V4"/>
    <mergeCell ref="T5:T8"/>
    <mergeCell ref="U5:U8"/>
    <mergeCell ref="O7:O8"/>
    <mergeCell ref="P7:P8"/>
    <mergeCell ref="G7:G8"/>
    <mergeCell ref="H7:H8"/>
    <mergeCell ref="M7:M8"/>
  </mergeCells>
  <dataValidations count="2">
    <dataValidation type="whole" allowBlank="1" showInputMessage="1" showErrorMessage="1" promptTitle="คำแนะนำ" prompt="คะแนนจะอยู่ระหว่าง 7-10 เท่านั้น" sqref="M55:O55" xr:uid="{00000000-0002-0000-0200-000000000000}">
      <formula1>7</formula1>
      <formula2>10</formula2>
    </dataValidation>
    <dataValidation type="whole" allowBlank="1" showInputMessage="1" showErrorMessage="1" promptTitle="คำแนะนำ" prompt="คะแนนจะอยู่ระหว่าง 4-5 เท่านั้น" sqref="P55" xr:uid="{00000000-0002-0000-0200-000001000000}">
      <formula1>4</formula1>
      <formula2>5</formula2>
    </dataValidation>
  </dataValidations>
  <printOptions horizontalCentered="1"/>
  <pageMargins left="0.19685039370078741" right="0.19685039370078741" top="0.19685039370078741" bottom="0.19685039370078741" header="0.31496062992125984" footer="0.31496062992125984"/>
  <pageSetup paperSize="9" scale="6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  <pageSetUpPr fitToPage="1"/>
  </sheetPr>
  <dimension ref="A1:W55"/>
  <sheetViews>
    <sheetView view="pageBreakPreview" topLeftCell="A5" zoomScaleNormal="100" zoomScaleSheetLayoutView="100" zoomScalePageLayoutView="120" workbookViewId="0">
      <selection activeCell="B10" sqref="B10:D11"/>
    </sheetView>
  </sheetViews>
  <sheetFormatPr defaultColWidth="9.09765625" defaultRowHeight="23.4" x14ac:dyDescent="0.25"/>
  <cols>
    <col min="1" max="1" width="3.8984375" style="19" customWidth="1"/>
    <col min="2" max="2" width="7.09765625" style="19" bestFit="1" customWidth="1"/>
    <col min="3" max="3" width="14.3984375" style="34" customWidth="1"/>
    <col min="4" max="4" width="18.69921875" style="35" customWidth="1"/>
    <col min="5" max="9" width="5.8984375" style="19" customWidth="1"/>
    <col min="10" max="11" width="5.8984375" style="36" customWidth="1"/>
    <col min="12" max="13" width="5.8984375" style="19" customWidth="1"/>
    <col min="14" max="15" width="6" style="19" customWidth="1"/>
    <col min="16" max="19" width="5.8984375" style="19" customWidth="1"/>
    <col min="20" max="21" width="6.69921875" style="19" customWidth="1"/>
    <col min="22" max="22" width="5.69921875" style="19" customWidth="1"/>
    <col min="23" max="23" width="3.19921875" style="19" customWidth="1"/>
    <col min="24" max="16384" width="9.09765625" style="19"/>
  </cols>
  <sheetData>
    <row r="1" spans="1:23" ht="22.5" customHeight="1" x14ac:dyDescent="0.25">
      <c r="A1" s="21"/>
      <c r="B1" s="21"/>
      <c r="C1" s="22"/>
      <c r="D1" s="135" t="s">
        <v>12</v>
      </c>
      <c r="E1" s="135"/>
      <c r="F1" s="23">
        <f>INFO!C3</f>
        <v>1</v>
      </c>
      <c r="G1" s="23"/>
      <c r="H1" s="23"/>
      <c r="I1" s="21" t="s">
        <v>13</v>
      </c>
      <c r="J1" s="21"/>
      <c r="K1" s="21"/>
      <c r="L1" s="23">
        <f>INFO!C4</f>
        <v>2026</v>
      </c>
      <c r="M1" s="24"/>
      <c r="N1" s="21"/>
      <c r="O1" s="21"/>
      <c r="P1" s="21"/>
      <c r="Q1" s="21"/>
      <c r="R1" s="21"/>
      <c r="S1" s="21"/>
      <c r="T1" s="21"/>
      <c r="U1" s="21"/>
    </row>
    <row r="2" spans="1:23" ht="19.5" customHeight="1" x14ac:dyDescent="0.25">
      <c r="A2" s="21"/>
      <c r="B2" s="21"/>
      <c r="C2" s="25" t="s">
        <v>7</v>
      </c>
      <c r="D2" s="23" t="str">
        <f>INFO!C10</f>
        <v>Mr.Nadir</v>
      </c>
      <c r="E2" s="21" t="s">
        <v>6</v>
      </c>
      <c r="F2" s="42"/>
      <c r="G2" s="58" t="str">
        <f>INFO!B10</f>
        <v>English</v>
      </c>
      <c r="I2" s="26" t="str">
        <f>INFO!C6</f>
        <v>Bilingual Program</v>
      </c>
      <c r="J2" s="21"/>
      <c r="K2" s="21"/>
      <c r="L2" s="21"/>
      <c r="M2" s="21" t="s">
        <v>3</v>
      </c>
      <c r="N2" s="26" t="str">
        <f>INFO!C5</f>
        <v>P.1/3</v>
      </c>
      <c r="O2" s="26"/>
      <c r="P2" s="26"/>
      <c r="Q2" s="21"/>
      <c r="R2" s="21"/>
      <c r="S2" s="21"/>
      <c r="T2" s="21"/>
      <c r="U2" s="21"/>
    </row>
    <row r="3" spans="1:23" ht="9" customHeight="1" x14ac:dyDescent="0.25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</row>
    <row r="4" spans="1:23" ht="24" customHeight="1" x14ac:dyDescent="0.25">
      <c r="A4" s="136" t="s">
        <v>14</v>
      </c>
      <c r="B4" s="126" t="s">
        <v>15</v>
      </c>
      <c r="C4" s="126"/>
      <c r="D4" s="126"/>
      <c r="E4" s="146" t="s">
        <v>16</v>
      </c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9"/>
    </row>
    <row r="5" spans="1:23" ht="40.5" customHeight="1" x14ac:dyDescent="0.25">
      <c r="A5" s="137"/>
      <c r="B5" s="126"/>
      <c r="C5" s="126"/>
      <c r="D5" s="126"/>
      <c r="E5" s="127" t="s">
        <v>17</v>
      </c>
      <c r="F5" s="127"/>
      <c r="G5" s="127"/>
      <c r="H5" s="127"/>
      <c r="I5" s="131" t="s">
        <v>18</v>
      </c>
      <c r="J5" s="131" t="s">
        <v>19</v>
      </c>
      <c r="K5" s="139" t="s">
        <v>20</v>
      </c>
      <c r="L5" s="140" t="s">
        <v>21</v>
      </c>
      <c r="M5" s="128" t="s">
        <v>17</v>
      </c>
      <c r="N5" s="128"/>
      <c r="O5" s="128"/>
      <c r="P5" s="129"/>
      <c r="Q5" s="133" t="s">
        <v>18</v>
      </c>
      <c r="R5" s="133" t="s">
        <v>22</v>
      </c>
      <c r="S5" s="143" t="s">
        <v>20</v>
      </c>
      <c r="T5" s="134" t="s">
        <v>23</v>
      </c>
      <c r="U5" s="133" t="s">
        <v>24</v>
      </c>
      <c r="V5" s="125" t="s">
        <v>32</v>
      </c>
    </row>
    <row r="6" spans="1:23" ht="27.9" customHeight="1" x14ac:dyDescent="0.25">
      <c r="A6" s="137"/>
      <c r="B6" s="126"/>
      <c r="C6" s="126"/>
      <c r="D6" s="146"/>
      <c r="E6" s="27"/>
      <c r="F6" s="28"/>
      <c r="G6" s="28"/>
      <c r="H6" s="29"/>
      <c r="I6" s="138"/>
      <c r="J6" s="131"/>
      <c r="K6" s="139"/>
      <c r="L6" s="140"/>
      <c r="M6" s="28"/>
      <c r="N6" s="28"/>
      <c r="O6" s="28"/>
      <c r="P6" s="28"/>
      <c r="Q6" s="133"/>
      <c r="R6" s="133"/>
      <c r="S6" s="143"/>
      <c r="T6" s="134"/>
      <c r="U6" s="133"/>
      <c r="V6" s="125"/>
    </row>
    <row r="7" spans="1:23" ht="27.9" customHeight="1" x14ac:dyDescent="0.25">
      <c r="A7" s="137"/>
      <c r="B7" s="126"/>
      <c r="C7" s="126"/>
      <c r="D7" s="126"/>
      <c r="E7" s="130" t="s">
        <v>25</v>
      </c>
      <c r="F7" s="130" t="s">
        <v>26</v>
      </c>
      <c r="G7" s="130" t="s">
        <v>27</v>
      </c>
      <c r="H7" s="130" t="s">
        <v>28</v>
      </c>
      <c r="I7" s="131"/>
      <c r="J7" s="131"/>
      <c r="K7" s="139"/>
      <c r="L7" s="140"/>
      <c r="M7" s="144" t="s">
        <v>25</v>
      </c>
      <c r="N7" s="132" t="s">
        <v>26</v>
      </c>
      <c r="O7" s="132" t="s">
        <v>27</v>
      </c>
      <c r="P7" s="141" t="s">
        <v>28</v>
      </c>
      <c r="Q7" s="133"/>
      <c r="R7" s="133"/>
      <c r="S7" s="143"/>
      <c r="T7" s="134"/>
      <c r="U7" s="133"/>
      <c r="V7" s="125"/>
    </row>
    <row r="8" spans="1:23" ht="21" customHeight="1" x14ac:dyDescent="0.25">
      <c r="A8" s="137"/>
      <c r="B8" s="126"/>
      <c r="C8" s="126"/>
      <c r="D8" s="126"/>
      <c r="E8" s="131"/>
      <c r="F8" s="131"/>
      <c r="G8" s="131"/>
      <c r="H8" s="131"/>
      <c r="I8" s="131"/>
      <c r="J8" s="131"/>
      <c r="K8" s="139"/>
      <c r="L8" s="140"/>
      <c r="M8" s="145"/>
      <c r="N8" s="133"/>
      <c r="O8" s="133"/>
      <c r="P8" s="142"/>
      <c r="Q8" s="133"/>
      <c r="R8" s="133"/>
      <c r="S8" s="143"/>
      <c r="T8" s="134"/>
      <c r="U8" s="133"/>
      <c r="V8" s="125"/>
    </row>
    <row r="9" spans="1:23" ht="20.100000000000001" customHeight="1" x14ac:dyDescent="0.25">
      <c r="A9" s="137"/>
      <c r="B9" s="127"/>
      <c r="C9" s="127"/>
      <c r="D9" s="127"/>
      <c r="E9" s="38">
        <v>10</v>
      </c>
      <c r="F9" s="38">
        <v>10</v>
      </c>
      <c r="G9" s="38">
        <v>10</v>
      </c>
      <c r="H9" s="38">
        <v>5</v>
      </c>
      <c r="I9" s="39">
        <f>SUM(E9:H9)</f>
        <v>35</v>
      </c>
      <c r="J9" s="40">
        <v>15</v>
      </c>
      <c r="K9" s="41">
        <v>10</v>
      </c>
      <c r="L9" s="57">
        <f>SUM(I9:J9)</f>
        <v>50</v>
      </c>
      <c r="M9" s="37">
        <v>10</v>
      </c>
      <c r="N9" s="30">
        <v>10</v>
      </c>
      <c r="O9" s="30">
        <v>10</v>
      </c>
      <c r="P9" s="30">
        <v>5</v>
      </c>
      <c r="Q9" s="31">
        <f>SUM(M9:P9)</f>
        <v>35</v>
      </c>
      <c r="R9" s="32">
        <v>15</v>
      </c>
      <c r="S9" s="11">
        <v>10</v>
      </c>
      <c r="T9" s="33">
        <f>SUM(Q9:R9)</f>
        <v>50</v>
      </c>
      <c r="U9" s="73">
        <f>SUM(L9,T9)</f>
        <v>100</v>
      </c>
      <c r="V9" s="125"/>
    </row>
    <row r="10" spans="1:23" ht="24" customHeight="1" x14ac:dyDescent="0.6">
      <c r="A10" s="17">
        <v>1</v>
      </c>
      <c r="B10" s="65">
        <v>12345</v>
      </c>
      <c r="C10" s="84" t="s">
        <v>34</v>
      </c>
      <c r="D10" s="45" t="s">
        <v>35</v>
      </c>
      <c r="E10" s="52">
        <v>10</v>
      </c>
      <c r="F10" s="48">
        <v>10</v>
      </c>
      <c r="G10" s="46">
        <v>10</v>
      </c>
      <c r="H10" s="46">
        <v>5</v>
      </c>
      <c r="I10" s="39">
        <f t="shared" ref="I10:I31" si="0">SUM(E10:H10)</f>
        <v>35</v>
      </c>
      <c r="J10" s="71">
        <v>15</v>
      </c>
      <c r="K10" s="20"/>
      <c r="L10" s="57">
        <f t="shared" ref="L10:L38" si="1">SUM(I10:J10)</f>
        <v>50</v>
      </c>
      <c r="M10" s="74">
        <v>10</v>
      </c>
      <c r="N10" s="74">
        <v>10</v>
      </c>
      <c r="O10" s="74">
        <v>10</v>
      </c>
      <c r="P10" s="74">
        <v>5</v>
      </c>
      <c r="Q10" s="31">
        <f t="shared" ref="Q10:Q38" si="2">SUM(M10:P10)</f>
        <v>35</v>
      </c>
      <c r="R10" s="74"/>
      <c r="S10" s="20"/>
      <c r="T10" s="33"/>
      <c r="U10" s="73"/>
      <c r="V10" s="93">
        <f>IF(U11&gt;=80,4,
IF(U11&gt;=75,3.5,
IF(U11&gt;=70,3,
IF(U11&gt;=65,2.5,
IF(U11&gt;=60,2,
IF(U11&gt;=55,1.5,
IF(U11&gt;=50,1,0)))))))</f>
        <v>0</v>
      </c>
      <c r="W10" s="18"/>
    </row>
    <row r="11" spans="1:23" ht="24" customHeight="1" x14ac:dyDescent="0.6">
      <c r="A11" s="17">
        <v>2</v>
      </c>
      <c r="B11" s="65">
        <v>12346</v>
      </c>
      <c r="C11" s="84" t="s">
        <v>36</v>
      </c>
      <c r="D11" s="45" t="s">
        <v>37</v>
      </c>
      <c r="E11" s="53">
        <v>10</v>
      </c>
      <c r="F11" s="48">
        <v>10</v>
      </c>
      <c r="G11" s="46">
        <v>10</v>
      </c>
      <c r="H11" s="46">
        <v>5</v>
      </c>
      <c r="I11" s="39">
        <f t="shared" si="0"/>
        <v>35</v>
      </c>
      <c r="J11" s="71">
        <v>11</v>
      </c>
      <c r="K11" s="20"/>
      <c r="L11" s="57">
        <f t="shared" si="1"/>
        <v>46</v>
      </c>
      <c r="M11" s="74">
        <v>10</v>
      </c>
      <c r="N11" s="74">
        <v>10</v>
      </c>
      <c r="O11" s="74">
        <v>10</v>
      </c>
      <c r="P11" s="74">
        <v>5</v>
      </c>
      <c r="Q11" s="31">
        <f t="shared" si="2"/>
        <v>35</v>
      </c>
      <c r="R11" s="74"/>
      <c r="S11" s="20"/>
      <c r="T11" s="33"/>
      <c r="U11" s="73"/>
      <c r="V11" s="93">
        <f t="shared" ref="V11:V55" si="3">IF(U12&gt;=80,4,
IF(U12&gt;=75,3.5,
IF(U12&gt;=70,3,
IF(U12&gt;=65,2.5,
IF(U12&gt;=60,2,
IF(U12&gt;=55,1.5,
IF(U12&gt;=50,1,0)))))))</f>
        <v>0</v>
      </c>
      <c r="W11" s="18"/>
    </row>
    <row r="12" spans="1:23" ht="24" customHeight="1" x14ac:dyDescent="0.6">
      <c r="A12" s="17">
        <v>3</v>
      </c>
      <c r="B12" s="65"/>
      <c r="C12" s="84"/>
      <c r="D12" s="45"/>
      <c r="E12" s="53">
        <v>10</v>
      </c>
      <c r="F12" s="48">
        <v>10</v>
      </c>
      <c r="G12" s="46">
        <v>10</v>
      </c>
      <c r="H12" s="46">
        <v>5</v>
      </c>
      <c r="I12" s="39">
        <f t="shared" si="0"/>
        <v>35</v>
      </c>
      <c r="J12" s="71">
        <v>15</v>
      </c>
      <c r="K12" s="20"/>
      <c r="L12" s="57">
        <f t="shared" si="1"/>
        <v>50</v>
      </c>
      <c r="M12" s="74">
        <v>10</v>
      </c>
      <c r="N12" s="74">
        <v>10</v>
      </c>
      <c r="O12" s="74">
        <v>10</v>
      </c>
      <c r="P12" s="74">
        <v>5</v>
      </c>
      <c r="Q12" s="31">
        <f t="shared" si="2"/>
        <v>35</v>
      </c>
      <c r="R12" s="74"/>
      <c r="S12" s="20"/>
      <c r="T12" s="33"/>
      <c r="U12" s="73"/>
      <c r="V12" s="93">
        <f t="shared" si="3"/>
        <v>0</v>
      </c>
      <c r="W12" s="18"/>
    </row>
    <row r="13" spans="1:23" ht="24" customHeight="1" x14ac:dyDescent="0.6">
      <c r="A13" s="17">
        <v>4</v>
      </c>
      <c r="B13" s="65"/>
      <c r="C13" s="84"/>
      <c r="D13" s="45"/>
      <c r="E13" s="53">
        <v>10</v>
      </c>
      <c r="F13" s="48">
        <v>10</v>
      </c>
      <c r="G13" s="46">
        <v>10</v>
      </c>
      <c r="H13" s="46">
        <v>5</v>
      </c>
      <c r="I13" s="39">
        <f t="shared" si="0"/>
        <v>35</v>
      </c>
      <c r="J13" s="71">
        <v>14</v>
      </c>
      <c r="K13" s="20"/>
      <c r="L13" s="57">
        <f t="shared" si="1"/>
        <v>49</v>
      </c>
      <c r="M13" s="74">
        <v>10</v>
      </c>
      <c r="N13" s="74">
        <v>10</v>
      </c>
      <c r="O13" s="74">
        <v>10</v>
      </c>
      <c r="P13" s="74">
        <v>5</v>
      </c>
      <c r="Q13" s="31">
        <f t="shared" si="2"/>
        <v>35</v>
      </c>
      <c r="R13" s="74"/>
      <c r="S13" s="20"/>
      <c r="T13" s="33"/>
      <c r="U13" s="73"/>
      <c r="V13" s="93">
        <f t="shared" si="3"/>
        <v>0</v>
      </c>
      <c r="W13" s="18"/>
    </row>
    <row r="14" spans="1:23" ht="24" customHeight="1" x14ac:dyDescent="0.6">
      <c r="A14" s="17">
        <v>5</v>
      </c>
      <c r="B14" s="65"/>
      <c r="C14" s="84"/>
      <c r="D14" s="45"/>
      <c r="E14" s="53">
        <v>10</v>
      </c>
      <c r="F14" s="48">
        <v>10</v>
      </c>
      <c r="G14" s="46">
        <v>10</v>
      </c>
      <c r="H14" s="46">
        <v>5</v>
      </c>
      <c r="I14" s="39">
        <f t="shared" si="0"/>
        <v>35</v>
      </c>
      <c r="J14" s="71">
        <v>14</v>
      </c>
      <c r="K14" s="20"/>
      <c r="L14" s="57">
        <f t="shared" si="1"/>
        <v>49</v>
      </c>
      <c r="M14" s="74">
        <v>10</v>
      </c>
      <c r="N14" s="74">
        <v>10</v>
      </c>
      <c r="O14" s="74">
        <v>10</v>
      </c>
      <c r="P14" s="74">
        <v>5</v>
      </c>
      <c r="Q14" s="31">
        <f t="shared" si="2"/>
        <v>35</v>
      </c>
      <c r="R14" s="74"/>
      <c r="S14" s="20"/>
      <c r="T14" s="33"/>
      <c r="U14" s="73"/>
      <c r="V14" s="93">
        <f t="shared" si="3"/>
        <v>0</v>
      </c>
      <c r="W14" s="18"/>
    </row>
    <row r="15" spans="1:23" ht="24" customHeight="1" x14ac:dyDescent="0.6">
      <c r="A15" s="17">
        <v>6</v>
      </c>
      <c r="B15" s="66"/>
      <c r="C15" s="85"/>
      <c r="D15" s="55"/>
      <c r="E15" s="53">
        <v>10</v>
      </c>
      <c r="F15" s="48">
        <v>10</v>
      </c>
      <c r="G15" s="46">
        <v>10</v>
      </c>
      <c r="H15" s="46">
        <v>5</v>
      </c>
      <c r="I15" s="39">
        <f t="shared" si="0"/>
        <v>35</v>
      </c>
      <c r="J15" s="71">
        <v>14</v>
      </c>
      <c r="K15" s="20"/>
      <c r="L15" s="57">
        <f t="shared" si="1"/>
        <v>49</v>
      </c>
      <c r="M15" s="74">
        <v>10</v>
      </c>
      <c r="N15" s="74">
        <v>10</v>
      </c>
      <c r="O15" s="74">
        <v>10</v>
      </c>
      <c r="P15" s="74">
        <v>5</v>
      </c>
      <c r="Q15" s="31">
        <f t="shared" si="2"/>
        <v>35</v>
      </c>
      <c r="R15" s="74"/>
      <c r="S15" s="20"/>
      <c r="T15" s="33"/>
      <c r="U15" s="73"/>
      <c r="V15" s="93">
        <f t="shared" si="3"/>
        <v>0</v>
      </c>
      <c r="W15" s="18"/>
    </row>
    <row r="16" spans="1:23" ht="24" customHeight="1" x14ac:dyDescent="0.6">
      <c r="A16" s="17">
        <v>7</v>
      </c>
      <c r="B16" s="65"/>
      <c r="C16" s="84"/>
      <c r="D16" s="45"/>
      <c r="E16" s="53">
        <v>10</v>
      </c>
      <c r="F16" s="48">
        <v>10</v>
      </c>
      <c r="G16" s="46">
        <v>10</v>
      </c>
      <c r="H16" s="46">
        <v>5</v>
      </c>
      <c r="I16" s="39">
        <f t="shared" si="0"/>
        <v>35</v>
      </c>
      <c r="J16" s="71">
        <v>15</v>
      </c>
      <c r="K16" s="20"/>
      <c r="L16" s="57">
        <f t="shared" si="1"/>
        <v>50</v>
      </c>
      <c r="M16" s="74">
        <v>10</v>
      </c>
      <c r="N16" s="74">
        <v>10</v>
      </c>
      <c r="O16" s="74">
        <v>10</v>
      </c>
      <c r="P16" s="74">
        <v>5</v>
      </c>
      <c r="Q16" s="31">
        <f t="shared" si="2"/>
        <v>35</v>
      </c>
      <c r="R16" s="74"/>
      <c r="S16" s="20"/>
      <c r="T16" s="33"/>
      <c r="U16" s="73"/>
      <c r="V16" s="93">
        <f t="shared" si="3"/>
        <v>0</v>
      </c>
      <c r="W16" s="18"/>
    </row>
    <row r="17" spans="1:23" ht="24" customHeight="1" x14ac:dyDescent="0.6">
      <c r="A17" s="17">
        <v>8</v>
      </c>
      <c r="B17" s="65"/>
      <c r="C17" s="84"/>
      <c r="D17" s="45"/>
      <c r="E17" s="53">
        <v>10</v>
      </c>
      <c r="F17" s="48">
        <v>10</v>
      </c>
      <c r="G17" s="46">
        <v>10</v>
      </c>
      <c r="H17" s="46">
        <v>5</v>
      </c>
      <c r="I17" s="39">
        <f t="shared" si="0"/>
        <v>35</v>
      </c>
      <c r="J17" s="71">
        <v>14</v>
      </c>
      <c r="K17" s="20"/>
      <c r="L17" s="57">
        <f t="shared" si="1"/>
        <v>49</v>
      </c>
      <c r="M17" s="74">
        <v>10</v>
      </c>
      <c r="N17" s="74">
        <v>10</v>
      </c>
      <c r="O17" s="74">
        <v>10</v>
      </c>
      <c r="P17" s="74">
        <v>5</v>
      </c>
      <c r="Q17" s="31">
        <f t="shared" si="2"/>
        <v>35</v>
      </c>
      <c r="R17" s="74"/>
      <c r="S17" s="20"/>
      <c r="T17" s="33"/>
      <c r="U17" s="73"/>
      <c r="V17" s="93">
        <f t="shared" si="3"/>
        <v>0</v>
      </c>
      <c r="W17" s="18"/>
    </row>
    <row r="18" spans="1:23" ht="24" customHeight="1" x14ac:dyDescent="0.6">
      <c r="A18" s="17">
        <v>9</v>
      </c>
      <c r="B18" s="65"/>
      <c r="C18" s="84"/>
      <c r="D18" s="45"/>
      <c r="E18" s="53">
        <v>10</v>
      </c>
      <c r="F18" s="48">
        <v>10</v>
      </c>
      <c r="G18" s="46">
        <v>10</v>
      </c>
      <c r="H18" s="46">
        <v>5</v>
      </c>
      <c r="I18" s="39">
        <f t="shared" si="0"/>
        <v>35</v>
      </c>
      <c r="J18" s="71">
        <v>15</v>
      </c>
      <c r="K18" s="20"/>
      <c r="L18" s="57">
        <f t="shared" si="1"/>
        <v>50</v>
      </c>
      <c r="M18" s="74">
        <v>10</v>
      </c>
      <c r="N18" s="74">
        <v>10</v>
      </c>
      <c r="O18" s="74">
        <v>10</v>
      </c>
      <c r="P18" s="74">
        <v>5</v>
      </c>
      <c r="Q18" s="31">
        <f t="shared" si="2"/>
        <v>35</v>
      </c>
      <c r="R18" s="74"/>
      <c r="S18" s="20"/>
      <c r="T18" s="33"/>
      <c r="U18" s="73"/>
      <c r="V18" s="93">
        <f t="shared" si="3"/>
        <v>0</v>
      </c>
      <c r="W18" s="18"/>
    </row>
    <row r="19" spans="1:23" ht="24" customHeight="1" x14ac:dyDescent="0.6">
      <c r="A19" s="17">
        <v>10</v>
      </c>
      <c r="B19" s="65"/>
      <c r="C19" s="84"/>
      <c r="D19" s="45"/>
      <c r="E19" s="53">
        <v>10</v>
      </c>
      <c r="F19" s="48">
        <v>10</v>
      </c>
      <c r="G19" s="46">
        <v>10</v>
      </c>
      <c r="H19" s="46">
        <v>5</v>
      </c>
      <c r="I19" s="39">
        <f t="shared" si="0"/>
        <v>35</v>
      </c>
      <c r="J19" s="71">
        <v>15</v>
      </c>
      <c r="K19" s="20"/>
      <c r="L19" s="57">
        <f t="shared" si="1"/>
        <v>50</v>
      </c>
      <c r="M19" s="74">
        <v>10</v>
      </c>
      <c r="N19" s="74">
        <v>10</v>
      </c>
      <c r="O19" s="74">
        <v>10</v>
      </c>
      <c r="P19" s="74">
        <v>5</v>
      </c>
      <c r="Q19" s="31">
        <f t="shared" si="2"/>
        <v>35</v>
      </c>
      <c r="R19" s="74"/>
      <c r="S19" s="20"/>
      <c r="T19" s="33"/>
      <c r="U19" s="73"/>
      <c r="V19" s="93">
        <f t="shared" si="3"/>
        <v>0</v>
      </c>
      <c r="W19" s="18"/>
    </row>
    <row r="20" spans="1:23" ht="24" customHeight="1" x14ac:dyDescent="0.6">
      <c r="A20" s="17">
        <v>11</v>
      </c>
      <c r="B20" s="65"/>
      <c r="C20" s="84"/>
      <c r="D20" s="45"/>
      <c r="E20" s="53">
        <v>10</v>
      </c>
      <c r="F20" s="48">
        <v>10</v>
      </c>
      <c r="G20" s="46">
        <v>10</v>
      </c>
      <c r="H20" s="46">
        <v>5</v>
      </c>
      <c r="I20" s="39">
        <f t="shared" si="0"/>
        <v>35</v>
      </c>
      <c r="J20" s="71">
        <v>14</v>
      </c>
      <c r="K20" s="20"/>
      <c r="L20" s="57">
        <f t="shared" si="1"/>
        <v>49</v>
      </c>
      <c r="M20" s="74">
        <v>10</v>
      </c>
      <c r="N20" s="74">
        <v>10</v>
      </c>
      <c r="O20" s="74">
        <v>10</v>
      </c>
      <c r="P20" s="74">
        <v>5</v>
      </c>
      <c r="Q20" s="31">
        <f t="shared" si="2"/>
        <v>35</v>
      </c>
      <c r="R20" s="74"/>
      <c r="S20" s="20"/>
      <c r="T20" s="33"/>
      <c r="U20" s="73"/>
      <c r="V20" s="93">
        <f t="shared" si="3"/>
        <v>0</v>
      </c>
      <c r="W20" s="18"/>
    </row>
    <row r="21" spans="1:23" ht="24" customHeight="1" x14ac:dyDescent="0.6">
      <c r="A21" s="17">
        <v>12</v>
      </c>
      <c r="B21" s="65"/>
      <c r="C21" s="84"/>
      <c r="D21" s="45"/>
      <c r="E21" s="53">
        <v>10</v>
      </c>
      <c r="F21" s="48">
        <v>10</v>
      </c>
      <c r="G21" s="46">
        <v>10</v>
      </c>
      <c r="H21" s="46">
        <v>5</v>
      </c>
      <c r="I21" s="39">
        <f t="shared" si="0"/>
        <v>35</v>
      </c>
      <c r="J21" s="71">
        <v>14</v>
      </c>
      <c r="K21" s="20"/>
      <c r="L21" s="57">
        <f t="shared" si="1"/>
        <v>49</v>
      </c>
      <c r="M21" s="74">
        <v>10</v>
      </c>
      <c r="N21" s="74">
        <v>10</v>
      </c>
      <c r="O21" s="74">
        <v>10</v>
      </c>
      <c r="P21" s="74">
        <v>5</v>
      </c>
      <c r="Q21" s="31">
        <f t="shared" si="2"/>
        <v>35</v>
      </c>
      <c r="R21" s="74"/>
      <c r="S21" s="20"/>
      <c r="T21" s="33"/>
      <c r="U21" s="73"/>
      <c r="V21" s="93">
        <f t="shared" si="3"/>
        <v>0</v>
      </c>
      <c r="W21" s="18"/>
    </row>
    <row r="22" spans="1:23" ht="24" customHeight="1" x14ac:dyDescent="0.6">
      <c r="A22" s="17">
        <v>13</v>
      </c>
      <c r="B22" s="65"/>
      <c r="C22" s="84"/>
      <c r="D22" s="45"/>
      <c r="E22" s="53">
        <v>10</v>
      </c>
      <c r="F22" s="48">
        <v>10</v>
      </c>
      <c r="G22" s="46">
        <v>10</v>
      </c>
      <c r="H22" s="46">
        <v>5</v>
      </c>
      <c r="I22" s="39">
        <f t="shared" si="0"/>
        <v>35</v>
      </c>
      <c r="J22" s="71">
        <v>14</v>
      </c>
      <c r="K22" s="20"/>
      <c r="L22" s="57">
        <f t="shared" si="1"/>
        <v>49</v>
      </c>
      <c r="M22" s="74">
        <v>10</v>
      </c>
      <c r="N22" s="74">
        <v>10</v>
      </c>
      <c r="O22" s="74">
        <v>10</v>
      </c>
      <c r="P22" s="74">
        <v>5</v>
      </c>
      <c r="Q22" s="31">
        <f t="shared" si="2"/>
        <v>35</v>
      </c>
      <c r="R22" s="76"/>
      <c r="S22" s="20"/>
      <c r="T22" s="33"/>
      <c r="U22" s="73"/>
      <c r="V22" s="93">
        <f t="shared" si="3"/>
        <v>0</v>
      </c>
      <c r="W22" s="18"/>
    </row>
    <row r="23" spans="1:23" ht="24" customHeight="1" x14ac:dyDescent="0.6">
      <c r="A23" s="17">
        <v>14</v>
      </c>
      <c r="B23" s="65"/>
      <c r="C23" s="84"/>
      <c r="D23" s="45"/>
      <c r="E23" s="53">
        <v>10</v>
      </c>
      <c r="F23" s="48">
        <v>10</v>
      </c>
      <c r="G23" s="46">
        <v>10</v>
      </c>
      <c r="H23" s="46">
        <v>5</v>
      </c>
      <c r="I23" s="39">
        <f t="shared" si="0"/>
        <v>35</v>
      </c>
      <c r="J23" s="71">
        <v>14</v>
      </c>
      <c r="K23" s="20"/>
      <c r="L23" s="57">
        <f t="shared" si="1"/>
        <v>49</v>
      </c>
      <c r="M23" s="74">
        <v>10</v>
      </c>
      <c r="N23" s="74">
        <v>10</v>
      </c>
      <c r="O23" s="74">
        <v>10</v>
      </c>
      <c r="P23" s="74">
        <v>5</v>
      </c>
      <c r="Q23" s="31">
        <f t="shared" si="2"/>
        <v>35</v>
      </c>
      <c r="R23" s="74"/>
      <c r="S23" s="20"/>
      <c r="T23" s="33"/>
      <c r="U23" s="73"/>
      <c r="V23" s="93">
        <f t="shared" si="3"/>
        <v>0</v>
      </c>
      <c r="W23" s="18"/>
    </row>
    <row r="24" spans="1:23" ht="24" customHeight="1" x14ac:dyDescent="0.6">
      <c r="A24" s="17">
        <v>15</v>
      </c>
      <c r="B24" s="65"/>
      <c r="C24" s="84"/>
      <c r="D24" s="45"/>
      <c r="E24" s="53">
        <v>10</v>
      </c>
      <c r="F24" s="48">
        <v>10</v>
      </c>
      <c r="G24" s="46">
        <v>10</v>
      </c>
      <c r="H24" s="46">
        <v>5</v>
      </c>
      <c r="I24" s="39">
        <f t="shared" si="0"/>
        <v>35</v>
      </c>
      <c r="J24" s="71">
        <v>14</v>
      </c>
      <c r="K24" s="20"/>
      <c r="L24" s="57">
        <f t="shared" si="1"/>
        <v>49</v>
      </c>
      <c r="M24" s="74">
        <v>10</v>
      </c>
      <c r="N24" s="74">
        <v>10</v>
      </c>
      <c r="O24" s="74">
        <v>10</v>
      </c>
      <c r="P24" s="74">
        <v>5</v>
      </c>
      <c r="Q24" s="31">
        <f t="shared" si="2"/>
        <v>35</v>
      </c>
      <c r="R24" s="74"/>
      <c r="S24" s="20"/>
      <c r="T24" s="33"/>
      <c r="U24" s="73"/>
      <c r="V24" s="93">
        <f t="shared" si="3"/>
        <v>0</v>
      </c>
      <c r="W24" s="18"/>
    </row>
    <row r="25" spans="1:23" ht="24" customHeight="1" x14ac:dyDescent="0.6">
      <c r="A25" s="17">
        <v>16</v>
      </c>
      <c r="B25" s="65"/>
      <c r="C25" s="84"/>
      <c r="D25" s="45"/>
      <c r="E25" s="53">
        <v>10</v>
      </c>
      <c r="F25" s="48">
        <v>10</v>
      </c>
      <c r="G25" s="46">
        <v>10</v>
      </c>
      <c r="H25" s="46">
        <v>5</v>
      </c>
      <c r="I25" s="39">
        <f t="shared" si="0"/>
        <v>35</v>
      </c>
      <c r="J25" s="71">
        <v>15</v>
      </c>
      <c r="K25" s="20"/>
      <c r="L25" s="57">
        <f t="shared" si="1"/>
        <v>50</v>
      </c>
      <c r="M25" s="74">
        <v>10</v>
      </c>
      <c r="N25" s="74">
        <v>10</v>
      </c>
      <c r="O25" s="74">
        <v>10</v>
      </c>
      <c r="P25" s="74">
        <v>5</v>
      </c>
      <c r="Q25" s="31">
        <f t="shared" si="2"/>
        <v>35</v>
      </c>
      <c r="R25" s="74"/>
      <c r="S25" s="20"/>
      <c r="T25" s="33"/>
      <c r="U25" s="73"/>
      <c r="V25" s="93">
        <f t="shared" si="3"/>
        <v>0</v>
      </c>
      <c r="W25" s="18"/>
    </row>
    <row r="26" spans="1:23" ht="24" customHeight="1" x14ac:dyDescent="0.6">
      <c r="A26" s="17">
        <v>17</v>
      </c>
      <c r="B26" s="65"/>
      <c r="C26" s="84"/>
      <c r="D26" s="45"/>
      <c r="E26" s="53">
        <v>10</v>
      </c>
      <c r="F26" s="48">
        <v>10</v>
      </c>
      <c r="G26" s="46">
        <v>10</v>
      </c>
      <c r="H26" s="46">
        <v>5</v>
      </c>
      <c r="I26" s="39">
        <f t="shared" si="0"/>
        <v>35</v>
      </c>
      <c r="J26" s="71">
        <v>13</v>
      </c>
      <c r="K26" s="20"/>
      <c r="L26" s="57">
        <f t="shared" si="1"/>
        <v>48</v>
      </c>
      <c r="M26" s="74">
        <v>10</v>
      </c>
      <c r="N26" s="74">
        <v>10</v>
      </c>
      <c r="O26" s="74">
        <v>10</v>
      </c>
      <c r="P26" s="74">
        <v>5</v>
      </c>
      <c r="Q26" s="31">
        <f t="shared" si="2"/>
        <v>35</v>
      </c>
      <c r="R26" s="74"/>
      <c r="S26" s="20"/>
      <c r="T26" s="33"/>
      <c r="U26" s="73"/>
      <c r="V26" s="93">
        <f t="shared" si="3"/>
        <v>0</v>
      </c>
      <c r="W26" s="18"/>
    </row>
    <row r="27" spans="1:23" ht="24" customHeight="1" x14ac:dyDescent="0.6">
      <c r="A27" s="17">
        <v>18</v>
      </c>
      <c r="B27" s="65"/>
      <c r="C27" s="84"/>
      <c r="D27" s="45"/>
      <c r="E27" s="53">
        <v>10</v>
      </c>
      <c r="F27" s="48">
        <v>10</v>
      </c>
      <c r="G27" s="46">
        <v>10</v>
      </c>
      <c r="H27" s="46">
        <v>5</v>
      </c>
      <c r="I27" s="39">
        <f t="shared" si="0"/>
        <v>35</v>
      </c>
      <c r="J27" s="71">
        <v>11</v>
      </c>
      <c r="K27" s="20"/>
      <c r="L27" s="57">
        <f t="shared" si="1"/>
        <v>46</v>
      </c>
      <c r="M27" s="74">
        <v>10</v>
      </c>
      <c r="N27" s="74">
        <v>10</v>
      </c>
      <c r="O27" s="74">
        <v>10</v>
      </c>
      <c r="P27" s="74">
        <v>5</v>
      </c>
      <c r="Q27" s="31">
        <f t="shared" si="2"/>
        <v>35</v>
      </c>
      <c r="R27" s="74"/>
      <c r="S27" s="20"/>
      <c r="T27" s="33"/>
      <c r="U27" s="73"/>
      <c r="V27" s="93">
        <f t="shared" si="3"/>
        <v>0</v>
      </c>
      <c r="W27" s="18"/>
    </row>
    <row r="28" spans="1:23" ht="24" customHeight="1" x14ac:dyDescent="0.6">
      <c r="A28" s="17">
        <v>19</v>
      </c>
      <c r="B28" s="65"/>
      <c r="C28" s="84"/>
      <c r="D28" s="45"/>
      <c r="E28" s="53">
        <v>10</v>
      </c>
      <c r="F28" s="48">
        <v>10</v>
      </c>
      <c r="G28" s="46">
        <v>10</v>
      </c>
      <c r="H28" s="46">
        <v>5</v>
      </c>
      <c r="I28" s="39">
        <f t="shared" si="0"/>
        <v>35</v>
      </c>
      <c r="J28" s="71">
        <v>12</v>
      </c>
      <c r="K28" s="20"/>
      <c r="L28" s="57">
        <f t="shared" si="1"/>
        <v>47</v>
      </c>
      <c r="M28" s="74">
        <v>10</v>
      </c>
      <c r="N28" s="74">
        <v>10</v>
      </c>
      <c r="O28" s="74">
        <v>10</v>
      </c>
      <c r="P28" s="74">
        <v>5</v>
      </c>
      <c r="Q28" s="31">
        <f t="shared" si="2"/>
        <v>35</v>
      </c>
      <c r="R28" s="74"/>
      <c r="S28" s="20"/>
      <c r="T28" s="33"/>
      <c r="U28" s="73"/>
      <c r="V28" s="93">
        <f t="shared" si="3"/>
        <v>0</v>
      </c>
      <c r="W28" s="18"/>
    </row>
    <row r="29" spans="1:23" ht="24" customHeight="1" x14ac:dyDescent="0.6">
      <c r="A29" s="17">
        <v>20</v>
      </c>
      <c r="B29" s="65"/>
      <c r="C29" s="84"/>
      <c r="D29" s="45"/>
      <c r="E29" s="53">
        <v>10</v>
      </c>
      <c r="F29" s="48">
        <v>10</v>
      </c>
      <c r="G29" s="46">
        <v>10</v>
      </c>
      <c r="H29" s="46">
        <v>5</v>
      </c>
      <c r="I29" s="39">
        <f t="shared" si="0"/>
        <v>35</v>
      </c>
      <c r="J29" s="71">
        <v>15</v>
      </c>
      <c r="K29" s="20"/>
      <c r="L29" s="57">
        <f t="shared" si="1"/>
        <v>50</v>
      </c>
      <c r="M29" s="74">
        <v>10</v>
      </c>
      <c r="N29" s="74">
        <v>10</v>
      </c>
      <c r="O29" s="74">
        <v>10</v>
      </c>
      <c r="P29" s="74">
        <v>5</v>
      </c>
      <c r="Q29" s="31">
        <f t="shared" si="2"/>
        <v>35</v>
      </c>
      <c r="R29" s="74"/>
      <c r="S29" s="20"/>
      <c r="T29" s="33"/>
      <c r="U29" s="73"/>
      <c r="V29" s="93">
        <f t="shared" si="3"/>
        <v>0</v>
      </c>
      <c r="W29" s="18"/>
    </row>
    <row r="30" spans="1:23" ht="24" customHeight="1" x14ac:dyDescent="0.6">
      <c r="A30" s="17">
        <v>21</v>
      </c>
      <c r="B30" s="67"/>
      <c r="C30" s="86"/>
      <c r="D30" s="49"/>
      <c r="E30" s="53">
        <v>10</v>
      </c>
      <c r="F30" s="48">
        <v>10</v>
      </c>
      <c r="G30" s="46">
        <v>10</v>
      </c>
      <c r="H30" s="46">
        <v>5</v>
      </c>
      <c r="I30" s="39">
        <f t="shared" si="0"/>
        <v>35</v>
      </c>
      <c r="J30" s="71">
        <v>12</v>
      </c>
      <c r="K30" s="20"/>
      <c r="L30" s="57">
        <f t="shared" si="1"/>
        <v>47</v>
      </c>
      <c r="M30" s="74">
        <v>10</v>
      </c>
      <c r="N30" s="74">
        <v>10</v>
      </c>
      <c r="O30" s="74">
        <v>10</v>
      </c>
      <c r="P30" s="74">
        <v>5</v>
      </c>
      <c r="Q30" s="31">
        <f t="shared" si="2"/>
        <v>35</v>
      </c>
      <c r="R30" s="74"/>
      <c r="S30" s="20"/>
      <c r="T30" s="33"/>
      <c r="U30" s="73"/>
      <c r="V30" s="93">
        <f t="shared" si="3"/>
        <v>0</v>
      </c>
      <c r="W30" s="18"/>
    </row>
    <row r="31" spans="1:23" ht="24" customHeight="1" x14ac:dyDescent="0.6">
      <c r="A31" s="17">
        <v>22</v>
      </c>
      <c r="B31" s="65"/>
      <c r="C31" s="84"/>
      <c r="D31" s="45"/>
      <c r="E31" s="53">
        <v>10</v>
      </c>
      <c r="F31" s="48">
        <v>10</v>
      </c>
      <c r="G31" s="46">
        <v>10</v>
      </c>
      <c r="H31" s="46">
        <v>5</v>
      </c>
      <c r="I31" s="39">
        <f t="shared" si="0"/>
        <v>35</v>
      </c>
      <c r="J31" s="71">
        <v>14</v>
      </c>
      <c r="K31" s="20"/>
      <c r="L31" s="57">
        <f t="shared" si="1"/>
        <v>49</v>
      </c>
      <c r="M31" s="74">
        <v>10</v>
      </c>
      <c r="N31" s="74">
        <v>10</v>
      </c>
      <c r="O31" s="74">
        <v>10</v>
      </c>
      <c r="P31" s="74">
        <v>5</v>
      </c>
      <c r="Q31" s="31">
        <f t="shared" si="2"/>
        <v>35</v>
      </c>
      <c r="R31" s="74"/>
      <c r="S31" s="20"/>
      <c r="T31" s="33"/>
      <c r="U31" s="73"/>
      <c r="V31" s="93">
        <f t="shared" si="3"/>
        <v>0</v>
      </c>
      <c r="W31" s="18"/>
    </row>
    <row r="32" spans="1:23" ht="24" customHeight="1" x14ac:dyDescent="0.6">
      <c r="A32" s="17">
        <v>23</v>
      </c>
      <c r="B32" s="65"/>
      <c r="C32" s="84"/>
      <c r="D32" s="45"/>
      <c r="E32" s="53">
        <v>10</v>
      </c>
      <c r="F32" s="48">
        <v>10</v>
      </c>
      <c r="G32" s="46">
        <v>10</v>
      </c>
      <c r="H32" s="46">
        <v>5</v>
      </c>
      <c r="I32" s="39">
        <f t="shared" ref="I32:I38" si="4">SUM(E32:H32)</f>
        <v>35</v>
      </c>
      <c r="J32" s="113">
        <v>11</v>
      </c>
      <c r="K32" s="20"/>
      <c r="L32" s="57">
        <f t="shared" si="1"/>
        <v>46</v>
      </c>
      <c r="M32" s="76">
        <v>10</v>
      </c>
      <c r="N32" s="76">
        <v>10</v>
      </c>
      <c r="O32" s="76">
        <v>10</v>
      </c>
      <c r="P32" s="76">
        <v>5</v>
      </c>
      <c r="Q32" s="31">
        <f t="shared" si="2"/>
        <v>35</v>
      </c>
      <c r="R32" s="76"/>
      <c r="S32" s="20"/>
      <c r="T32" s="111"/>
      <c r="U32" s="112"/>
      <c r="V32" s="93">
        <f t="shared" si="3"/>
        <v>0</v>
      </c>
      <c r="W32" s="18"/>
    </row>
    <row r="33" spans="1:23" ht="24" customHeight="1" x14ac:dyDescent="0.6">
      <c r="A33" s="17">
        <v>24</v>
      </c>
      <c r="B33" s="65"/>
      <c r="C33" s="84"/>
      <c r="D33" s="45"/>
      <c r="E33" s="53">
        <v>10</v>
      </c>
      <c r="F33" s="48">
        <v>10</v>
      </c>
      <c r="G33" s="46">
        <v>10</v>
      </c>
      <c r="H33" s="46">
        <v>5</v>
      </c>
      <c r="I33" s="39">
        <f t="shared" si="4"/>
        <v>35</v>
      </c>
      <c r="J33" s="71">
        <v>15</v>
      </c>
      <c r="K33" s="20"/>
      <c r="L33" s="57">
        <f t="shared" si="1"/>
        <v>50</v>
      </c>
      <c r="M33" s="74">
        <v>10</v>
      </c>
      <c r="N33" s="74">
        <v>10</v>
      </c>
      <c r="O33" s="74">
        <v>10</v>
      </c>
      <c r="P33" s="74">
        <v>5</v>
      </c>
      <c r="Q33" s="31">
        <f t="shared" si="2"/>
        <v>35</v>
      </c>
      <c r="R33" s="76"/>
      <c r="S33" s="20"/>
      <c r="T33" s="33"/>
      <c r="U33" s="73"/>
      <c r="V33" s="93">
        <f t="shared" si="3"/>
        <v>0</v>
      </c>
      <c r="W33" s="18"/>
    </row>
    <row r="34" spans="1:23" ht="24" customHeight="1" x14ac:dyDescent="0.6">
      <c r="A34" s="17">
        <v>25</v>
      </c>
      <c r="B34" s="65"/>
      <c r="C34" s="84"/>
      <c r="D34" s="45"/>
      <c r="E34" s="53">
        <v>10</v>
      </c>
      <c r="F34" s="48">
        <v>10</v>
      </c>
      <c r="G34" s="46">
        <v>10</v>
      </c>
      <c r="H34" s="46">
        <v>5</v>
      </c>
      <c r="I34" s="39">
        <f t="shared" si="4"/>
        <v>35</v>
      </c>
      <c r="J34" s="71">
        <v>15</v>
      </c>
      <c r="K34" s="20"/>
      <c r="L34" s="57">
        <f t="shared" si="1"/>
        <v>50</v>
      </c>
      <c r="M34" s="74">
        <v>10</v>
      </c>
      <c r="N34" s="74">
        <v>10</v>
      </c>
      <c r="O34" s="74">
        <v>10</v>
      </c>
      <c r="P34" s="74">
        <v>5</v>
      </c>
      <c r="Q34" s="31">
        <f t="shared" si="2"/>
        <v>35</v>
      </c>
      <c r="R34" s="74"/>
      <c r="S34" s="20"/>
      <c r="T34" s="33"/>
      <c r="U34" s="73"/>
      <c r="V34" s="93">
        <f t="shared" si="3"/>
        <v>0</v>
      </c>
      <c r="W34" s="18"/>
    </row>
    <row r="35" spans="1:23" ht="24" customHeight="1" x14ac:dyDescent="0.6">
      <c r="A35" s="17">
        <v>26</v>
      </c>
      <c r="B35" s="65"/>
      <c r="C35" s="84"/>
      <c r="D35" s="45"/>
      <c r="E35" s="53">
        <v>10</v>
      </c>
      <c r="F35" s="48">
        <v>10</v>
      </c>
      <c r="G35" s="46">
        <v>10</v>
      </c>
      <c r="H35" s="46">
        <v>5</v>
      </c>
      <c r="I35" s="39">
        <f t="shared" si="4"/>
        <v>35</v>
      </c>
      <c r="J35" s="71">
        <v>11</v>
      </c>
      <c r="K35" s="20"/>
      <c r="L35" s="57">
        <f t="shared" si="1"/>
        <v>46</v>
      </c>
      <c r="M35" s="74">
        <v>10</v>
      </c>
      <c r="N35" s="74">
        <v>10</v>
      </c>
      <c r="O35" s="74">
        <v>10</v>
      </c>
      <c r="P35" s="74">
        <v>5</v>
      </c>
      <c r="Q35" s="31">
        <f t="shared" si="2"/>
        <v>35</v>
      </c>
      <c r="R35" s="74"/>
      <c r="S35" s="20"/>
      <c r="T35" s="33"/>
      <c r="U35" s="73"/>
      <c r="V35" s="93">
        <f t="shared" si="3"/>
        <v>0</v>
      </c>
      <c r="W35" s="18"/>
    </row>
    <row r="36" spans="1:23" ht="24" customHeight="1" x14ac:dyDescent="0.6">
      <c r="A36" s="17">
        <v>27</v>
      </c>
      <c r="B36" s="65"/>
      <c r="C36" s="84"/>
      <c r="D36" s="45"/>
      <c r="E36" s="53">
        <v>10</v>
      </c>
      <c r="F36" s="48">
        <v>10</v>
      </c>
      <c r="G36" s="46">
        <v>10</v>
      </c>
      <c r="H36" s="46">
        <v>5</v>
      </c>
      <c r="I36" s="39">
        <f t="shared" si="4"/>
        <v>35</v>
      </c>
      <c r="J36" s="71">
        <v>14</v>
      </c>
      <c r="K36" s="20"/>
      <c r="L36" s="57">
        <f t="shared" si="1"/>
        <v>49</v>
      </c>
      <c r="M36" s="74">
        <v>10</v>
      </c>
      <c r="N36" s="74">
        <v>10</v>
      </c>
      <c r="O36" s="74">
        <v>10</v>
      </c>
      <c r="P36" s="74">
        <v>5</v>
      </c>
      <c r="Q36" s="31">
        <f t="shared" si="2"/>
        <v>35</v>
      </c>
      <c r="R36" s="74"/>
      <c r="S36" s="20"/>
      <c r="T36" s="33"/>
      <c r="U36" s="73"/>
      <c r="V36" s="93">
        <f t="shared" si="3"/>
        <v>0</v>
      </c>
      <c r="W36" s="18"/>
    </row>
    <row r="37" spans="1:23" ht="24" customHeight="1" x14ac:dyDescent="0.6">
      <c r="A37" s="17">
        <v>28</v>
      </c>
      <c r="B37" s="65"/>
      <c r="C37" s="84"/>
      <c r="D37" s="45"/>
      <c r="E37" s="53">
        <v>10</v>
      </c>
      <c r="F37" s="48">
        <v>10</v>
      </c>
      <c r="G37" s="46">
        <v>10</v>
      </c>
      <c r="H37" s="46">
        <v>5</v>
      </c>
      <c r="I37" s="39">
        <f t="shared" si="4"/>
        <v>35</v>
      </c>
      <c r="J37" s="71">
        <v>13</v>
      </c>
      <c r="K37" s="20"/>
      <c r="L37" s="57">
        <f t="shared" si="1"/>
        <v>48</v>
      </c>
      <c r="M37" s="74">
        <v>10</v>
      </c>
      <c r="N37" s="74">
        <v>10</v>
      </c>
      <c r="O37" s="74">
        <v>10</v>
      </c>
      <c r="P37" s="74">
        <v>5</v>
      </c>
      <c r="Q37" s="31">
        <f t="shared" si="2"/>
        <v>35</v>
      </c>
      <c r="R37" s="74"/>
      <c r="S37" s="20"/>
      <c r="T37" s="33"/>
      <c r="U37" s="73"/>
      <c r="V37" s="93">
        <f t="shared" si="3"/>
        <v>0</v>
      </c>
      <c r="W37" s="18"/>
    </row>
    <row r="38" spans="1:23" ht="24" customHeight="1" x14ac:dyDescent="0.6">
      <c r="A38" s="17">
        <v>29</v>
      </c>
      <c r="B38" s="67"/>
      <c r="C38" s="121"/>
      <c r="D38" s="105"/>
      <c r="E38" s="53">
        <v>10</v>
      </c>
      <c r="F38" s="48">
        <v>10</v>
      </c>
      <c r="G38" s="46">
        <v>10</v>
      </c>
      <c r="H38" s="46">
        <v>5</v>
      </c>
      <c r="I38" s="39">
        <f t="shared" si="4"/>
        <v>35</v>
      </c>
      <c r="J38" s="71">
        <v>14</v>
      </c>
      <c r="K38" s="20"/>
      <c r="L38" s="57">
        <f t="shared" si="1"/>
        <v>49</v>
      </c>
      <c r="M38" s="74">
        <v>10</v>
      </c>
      <c r="N38" s="74">
        <v>10</v>
      </c>
      <c r="O38" s="74">
        <v>10</v>
      </c>
      <c r="P38" s="74">
        <v>5</v>
      </c>
      <c r="Q38" s="31">
        <f t="shared" si="2"/>
        <v>35</v>
      </c>
      <c r="R38" s="74"/>
      <c r="S38" s="20"/>
      <c r="T38" s="33"/>
      <c r="U38" s="73"/>
      <c r="V38" s="93">
        <f t="shared" si="3"/>
        <v>0</v>
      </c>
      <c r="W38" s="18"/>
    </row>
    <row r="39" spans="1:23" ht="24" customHeight="1" x14ac:dyDescent="0.25">
      <c r="A39" s="17">
        <v>30</v>
      </c>
      <c r="B39" s="105"/>
      <c r="C39" s="106"/>
      <c r="D39" s="107"/>
      <c r="E39" s="105"/>
      <c r="F39" s="105"/>
      <c r="G39" s="105"/>
      <c r="H39" s="105"/>
      <c r="I39" s="105"/>
      <c r="J39" s="94"/>
      <c r="K39" s="20"/>
      <c r="L39" s="57"/>
      <c r="M39" s="74"/>
      <c r="N39" s="74"/>
      <c r="O39" s="74"/>
      <c r="P39" s="74"/>
      <c r="Q39" s="31"/>
      <c r="R39" s="74"/>
      <c r="S39" s="20"/>
      <c r="T39" s="33"/>
      <c r="U39" s="73"/>
      <c r="V39" s="93">
        <f t="shared" si="3"/>
        <v>0</v>
      </c>
      <c r="W39" s="18"/>
    </row>
    <row r="40" spans="1:23" ht="24" customHeight="1" x14ac:dyDescent="0.6">
      <c r="A40" s="17">
        <v>31</v>
      </c>
      <c r="B40" s="98"/>
      <c r="C40" s="99"/>
      <c r="D40" s="100"/>
      <c r="E40" s="101"/>
      <c r="F40" s="102"/>
      <c r="G40" s="103"/>
      <c r="H40" s="103"/>
      <c r="I40" s="109"/>
      <c r="J40" s="71"/>
      <c r="K40" s="20"/>
      <c r="L40" s="57"/>
      <c r="M40" s="74"/>
      <c r="N40" s="74"/>
      <c r="O40" s="74"/>
      <c r="P40" s="74"/>
      <c r="Q40" s="31"/>
      <c r="R40" s="74"/>
      <c r="S40" s="20"/>
      <c r="T40" s="33"/>
      <c r="U40" s="73"/>
      <c r="V40" s="93">
        <f t="shared" si="3"/>
        <v>0</v>
      </c>
      <c r="W40" s="18"/>
    </row>
    <row r="41" spans="1:23" x14ac:dyDescent="0.6">
      <c r="A41" s="17">
        <v>32</v>
      </c>
      <c r="B41" s="68"/>
      <c r="C41" s="84"/>
      <c r="D41" s="50"/>
      <c r="E41" s="53"/>
      <c r="F41" s="48"/>
      <c r="G41" s="46"/>
      <c r="H41" s="46"/>
      <c r="I41" s="39"/>
      <c r="J41" s="71"/>
      <c r="K41" s="20"/>
      <c r="L41" s="57"/>
      <c r="M41" s="74"/>
      <c r="N41" s="74"/>
      <c r="O41" s="74"/>
      <c r="P41" s="74"/>
      <c r="Q41" s="31"/>
      <c r="R41" s="74"/>
      <c r="S41" s="20"/>
      <c r="T41" s="33"/>
      <c r="U41" s="73"/>
      <c r="V41" s="93">
        <f t="shared" si="3"/>
        <v>0</v>
      </c>
    </row>
    <row r="42" spans="1:23" x14ac:dyDescent="0.6">
      <c r="A42" s="17">
        <v>33</v>
      </c>
      <c r="B42" s="68"/>
      <c r="C42" s="84"/>
      <c r="D42" s="50"/>
      <c r="E42" s="53"/>
      <c r="F42" s="48"/>
      <c r="G42" s="46"/>
      <c r="H42" s="46"/>
      <c r="I42" s="39"/>
      <c r="J42" s="71"/>
      <c r="K42" s="20"/>
      <c r="L42" s="57"/>
      <c r="M42" s="74"/>
      <c r="N42" s="74"/>
      <c r="O42" s="74"/>
      <c r="P42" s="74"/>
      <c r="Q42" s="31"/>
      <c r="R42" s="75"/>
      <c r="S42" s="20"/>
      <c r="T42" s="33"/>
      <c r="U42" s="73"/>
      <c r="V42" s="93">
        <f t="shared" si="3"/>
        <v>0</v>
      </c>
    </row>
    <row r="43" spans="1:23" x14ac:dyDescent="0.6">
      <c r="A43" s="17">
        <v>34</v>
      </c>
      <c r="B43" s="68"/>
      <c r="C43" s="84"/>
      <c r="D43" s="50"/>
      <c r="E43" s="53"/>
      <c r="F43" s="48"/>
      <c r="G43" s="46"/>
      <c r="H43" s="46"/>
      <c r="I43" s="39"/>
      <c r="J43" s="71"/>
      <c r="K43" s="20"/>
      <c r="L43" s="57"/>
      <c r="M43" s="74"/>
      <c r="N43" s="74"/>
      <c r="O43" s="74"/>
      <c r="P43" s="74"/>
      <c r="Q43" s="31"/>
      <c r="R43" s="74"/>
      <c r="S43" s="20"/>
      <c r="T43" s="33"/>
      <c r="U43" s="73"/>
      <c r="V43" s="93">
        <f t="shared" si="3"/>
        <v>0</v>
      </c>
    </row>
    <row r="44" spans="1:23" x14ac:dyDescent="0.6">
      <c r="A44" s="17">
        <v>35</v>
      </c>
      <c r="B44" s="68"/>
      <c r="C44" s="84"/>
      <c r="D44" s="50"/>
      <c r="E44" s="53"/>
      <c r="F44" s="48"/>
      <c r="G44" s="46"/>
      <c r="H44" s="46"/>
      <c r="I44" s="39"/>
      <c r="J44" s="71"/>
      <c r="K44" s="20"/>
      <c r="L44" s="57"/>
      <c r="M44" s="74"/>
      <c r="N44" s="74"/>
      <c r="O44" s="74"/>
      <c r="P44" s="74"/>
      <c r="Q44" s="31"/>
      <c r="R44" s="74"/>
      <c r="S44" s="20"/>
      <c r="T44" s="33"/>
      <c r="U44" s="73"/>
      <c r="V44" s="93">
        <f t="shared" si="3"/>
        <v>0</v>
      </c>
    </row>
    <row r="45" spans="1:23" x14ac:dyDescent="0.6">
      <c r="A45" s="17">
        <v>36</v>
      </c>
      <c r="B45" s="68"/>
      <c r="C45" s="84"/>
      <c r="D45" s="50"/>
      <c r="E45" s="53"/>
      <c r="F45" s="48"/>
      <c r="G45" s="46"/>
      <c r="H45" s="46"/>
      <c r="I45" s="39"/>
      <c r="J45" s="71"/>
      <c r="K45" s="20"/>
      <c r="L45" s="57"/>
      <c r="M45" s="74"/>
      <c r="N45" s="74"/>
      <c r="O45" s="74"/>
      <c r="P45" s="74"/>
      <c r="Q45" s="31"/>
      <c r="R45" s="74"/>
      <c r="S45" s="20"/>
      <c r="T45" s="33"/>
      <c r="U45" s="73"/>
      <c r="V45" s="93">
        <f t="shared" si="3"/>
        <v>0</v>
      </c>
    </row>
    <row r="46" spans="1:23" x14ac:dyDescent="0.6">
      <c r="A46" s="17">
        <v>37</v>
      </c>
      <c r="B46" s="83"/>
      <c r="C46" s="87"/>
      <c r="D46" s="77"/>
      <c r="E46" s="78"/>
      <c r="F46" s="79"/>
      <c r="G46" s="80"/>
      <c r="H46" s="80"/>
      <c r="I46" s="39"/>
      <c r="J46" s="91"/>
      <c r="K46" s="20"/>
      <c r="L46" s="57"/>
      <c r="M46" s="82"/>
      <c r="N46" s="82"/>
      <c r="O46" s="82"/>
      <c r="P46" s="82"/>
      <c r="Q46" s="31"/>
      <c r="R46" s="82"/>
      <c r="S46" s="20"/>
      <c r="T46" s="33"/>
      <c r="U46" s="73"/>
      <c r="V46" s="93">
        <f t="shared" si="3"/>
        <v>0</v>
      </c>
    </row>
    <row r="47" spans="1:23" x14ac:dyDescent="0.6">
      <c r="A47" s="17">
        <v>38</v>
      </c>
      <c r="B47" s="69"/>
      <c r="C47" s="88"/>
      <c r="D47" s="61"/>
      <c r="E47" s="53"/>
      <c r="F47" s="48"/>
      <c r="G47" s="46"/>
      <c r="H47" s="46"/>
      <c r="I47" s="39"/>
      <c r="J47" s="72"/>
      <c r="K47" s="20"/>
      <c r="L47" s="57"/>
      <c r="M47" s="74"/>
      <c r="N47" s="74"/>
      <c r="O47" s="74"/>
      <c r="P47" s="74"/>
      <c r="Q47" s="31"/>
      <c r="R47" s="74"/>
      <c r="S47" s="20"/>
      <c r="T47" s="33"/>
      <c r="U47" s="73"/>
      <c r="V47" s="93">
        <f t="shared" si="3"/>
        <v>0</v>
      </c>
    </row>
    <row r="48" spans="1:23" x14ac:dyDescent="0.6">
      <c r="A48" s="17">
        <v>39</v>
      </c>
      <c r="B48" s="70"/>
      <c r="C48" s="86"/>
      <c r="D48" s="51"/>
      <c r="E48" s="53"/>
      <c r="F48" s="48"/>
      <c r="G48" s="46"/>
      <c r="H48" s="46"/>
      <c r="I48" s="39"/>
      <c r="J48" s="71"/>
      <c r="K48" s="20"/>
      <c r="L48" s="57"/>
      <c r="M48" s="74"/>
      <c r="N48" s="74"/>
      <c r="O48" s="74"/>
      <c r="P48" s="74"/>
      <c r="Q48" s="31"/>
      <c r="R48" s="74"/>
      <c r="S48" s="20"/>
      <c r="T48" s="33"/>
      <c r="U48" s="73"/>
      <c r="V48" s="93">
        <f t="shared" si="3"/>
        <v>0</v>
      </c>
    </row>
    <row r="49" spans="1:22" x14ac:dyDescent="0.6">
      <c r="A49" s="17">
        <v>40</v>
      </c>
      <c r="B49" s="68"/>
      <c r="C49" s="84"/>
      <c r="D49" s="50"/>
      <c r="E49" s="53"/>
      <c r="F49" s="48"/>
      <c r="G49" s="46"/>
      <c r="H49" s="46"/>
      <c r="I49" s="39"/>
      <c r="J49" s="71"/>
      <c r="K49" s="20"/>
      <c r="L49" s="57"/>
      <c r="M49" s="74"/>
      <c r="N49" s="74"/>
      <c r="O49" s="74"/>
      <c r="P49" s="74"/>
      <c r="Q49" s="31"/>
      <c r="R49" s="74"/>
      <c r="S49" s="20"/>
      <c r="T49" s="33"/>
      <c r="U49" s="73"/>
      <c r="V49" s="93">
        <f t="shared" si="3"/>
        <v>0</v>
      </c>
    </row>
    <row r="50" spans="1:22" x14ac:dyDescent="0.6">
      <c r="A50" s="17">
        <v>41</v>
      </c>
      <c r="B50" s="68"/>
      <c r="C50" s="84"/>
      <c r="D50" s="50"/>
      <c r="E50" s="53"/>
      <c r="F50" s="48"/>
      <c r="G50" s="46"/>
      <c r="H50" s="46"/>
      <c r="I50" s="39"/>
      <c r="J50" s="71"/>
      <c r="K50" s="20"/>
      <c r="L50" s="57"/>
      <c r="M50" s="74"/>
      <c r="N50" s="74"/>
      <c r="O50" s="74"/>
      <c r="P50" s="74"/>
      <c r="Q50" s="31"/>
      <c r="R50" s="74"/>
      <c r="S50" s="20"/>
      <c r="T50" s="33"/>
      <c r="U50" s="73"/>
      <c r="V50" s="93">
        <f t="shared" si="3"/>
        <v>0</v>
      </c>
    </row>
    <row r="51" spans="1:22" x14ac:dyDescent="0.6">
      <c r="A51" s="17">
        <v>42</v>
      </c>
      <c r="B51" s="68"/>
      <c r="C51" s="84"/>
      <c r="D51" s="50"/>
      <c r="E51" s="53"/>
      <c r="F51" s="48"/>
      <c r="G51" s="46"/>
      <c r="H51" s="46"/>
      <c r="I51" s="39"/>
      <c r="J51" s="71"/>
      <c r="K51" s="20"/>
      <c r="L51" s="57"/>
      <c r="M51" s="74"/>
      <c r="N51" s="74"/>
      <c r="O51" s="74"/>
      <c r="P51" s="74"/>
      <c r="Q51" s="31"/>
      <c r="R51" s="74"/>
      <c r="S51" s="20"/>
      <c r="T51" s="33"/>
      <c r="U51" s="73"/>
      <c r="V51" s="93">
        <f t="shared" si="3"/>
        <v>0</v>
      </c>
    </row>
    <row r="52" spans="1:22" x14ac:dyDescent="0.6">
      <c r="A52" s="17">
        <v>43</v>
      </c>
      <c r="B52" s="68"/>
      <c r="C52" s="84"/>
      <c r="D52" s="50"/>
      <c r="E52" s="53"/>
      <c r="F52" s="48"/>
      <c r="G52" s="46"/>
      <c r="H52" s="46"/>
      <c r="I52" s="39"/>
      <c r="J52" s="71"/>
      <c r="K52" s="20"/>
      <c r="L52" s="57"/>
      <c r="M52" s="74"/>
      <c r="N52" s="74"/>
      <c r="O52" s="74"/>
      <c r="P52" s="74"/>
      <c r="Q52" s="31"/>
      <c r="R52" s="74"/>
      <c r="S52" s="20"/>
      <c r="T52" s="33"/>
      <c r="U52" s="73"/>
      <c r="V52" s="93">
        <f t="shared" si="3"/>
        <v>0</v>
      </c>
    </row>
    <row r="53" spans="1:22" x14ac:dyDescent="0.6">
      <c r="A53" s="17">
        <v>44</v>
      </c>
      <c r="B53" s="68"/>
      <c r="C53" s="84"/>
      <c r="D53" s="50"/>
      <c r="E53" s="53"/>
      <c r="F53" s="48"/>
      <c r="G53" s="46"/>
      <c r="H53" s="46"/>
      <c r="I53" s="39"/>
      <c r="J53" s="71"/>
      <c r="K53" s="20"/>
      <c r="L53" s="57"/>
      <c r="M53" s="74"/>
      <c r="N53" s="74"/>
      <c r="O53" s="74"/>
      <c r="P53" s="74"/>
      <c r="Q53" s="31"/>
      <c r="R53" s="76"/>
      <c r="S53" s="20"/>
      <c r="T53" s="33"/>
      <c r="U53" s="73"/>
      <c r="V53" s="93">
        <f t="shared" si="3"/>
        <v>0</v>
      </c>
    </row>
    <row r="54" spans="1:22" x14ac:dyDescent="0.6">
      <c r="A54" s="17">
        <v>45</v>
      </c>
      <c r="B54" s="68"/>
      <c r="C54" s="84"/>
      <c r="D54" s="50"/>
      <c r="E54" s="54"/>
      <c r="F54" s="48"/>
      <c r="G54" s="46"/>
      <c r="H54" s="46"/>
      <c r="I54" s="39"/>
      <c r="J54" s="71"/>
      <c r="K54" s="20"/>
      <c r="L54" s="57"/>
      <c r="M54" s="74"/>
      <c r="N54" s="74"/>
      <c r="O54" s="74"/>
      <c r="P54" s="74"/>
      <c r="Q54" s="31"/>
      <c r="R54" s="74"/>
      <c r="S54" s="20"/>
      <c r="T54" s="33"/>
      <c r="U54" s="73"/>
      <c r="V54" s="93">
        <f t="shared" si="3"/>
        <v>0</v>
      </c>
    </row>
    <row r="55" spans="1:22" x14ac:dyDescent="0.6">
      <c r="A55" s="17">
        <v>46</v>
      </c>
      <c r="B55" s="68"/>
      <c r="C55" s="84"/>
      <c r="D55" s="50"/>
      <c r="E55" s="54"/>
      <c r="F55" s="48"/>
      <c r="G55" s="46"/>
      <c r="H55" s="46"/>
      <c r="I55" s="39"/>
      <c r="J55" s="71"/>
      <c r="K55" s="20"/>
      <c r="L55" s="57"/>
      <c r="M55" s="74"/>
      <c r="N55" s="74"/>
      <c r="O55" s="74"/>
      <c r="P55" s="74"/>
      <c r="Q55" s="31"/>
      <c r="R55" s="74"/>
      <c r="S55" s="20"/>
      <c r="T55" s="33"/>
      <c r="U55" s="73"/>
      <c r="V55" s="93">
        <f t="shared" si="3"/>
        <v>0</v>
      </c>
    </row>
  </sheetData>
  <mergeCells count="25">
    <mergeCell ref="D1:E1"/>
    <mergeCell ref="A3:U3"/>
    <mergeCell ref="A4:A9"/>
    <mergeCell ref="B4:D9"/>
    <mergeCell ref="E4:U4"/>
    <mergeCell ref="E5:H5"/>
    <mergeCell ref="I5:I8"/>
    <mergeCell ref="J5:J8"/>
    <mergeCell ref="K5:K8"/>
    <mergeCell ref="L5:L8"/>
    <mergeCell ref="N7:N8"/>
    <mergeCell ref="M5:P5"/>
    <mergeCell ref="Q5:Q8"/>
    <mergeCell ref="R5:R8"/>
    <mergeCell ref="S5:S8"/>
    <mergeCell ref="E7:E8"/>
    <mergeCell ref="F7:F8"/>
    <mergeCell ref="G7:G8"/>
    <mergeCell ref="H7:H8"/>
    <mergeCell ref="M7:M8"/>
    <mergeCell ref="V5:V9"/>
    <mergeCell ref="T5:T8"/>
    <mergeCell ref="U5:U8"/>
    <mergeCell ref="O7:O8"/>
    <mergeCell ref="P7:P8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  <pageSetUpPr fitToPage="1"/>
  </sheetPr>
  <dimension ref="A1:W55"/>
  <sheetViews>
    <sheetView tabSelected="1" view="pageBreakPreview" topLeftCell="A5" zoomScaleNormal="100" zoomScaleSheetLayoutView="100" zoomScalePageLayoutView="120" workbookViewId="0">
      <selection activeCell="B12" sqref="B12:D38"/>
    </sheetView>
  </sheetViews>
  <sheetFormatPr defaultColWidth="9.09765625" defaultRowHeight="23.4" x14ac:dyDescent="0.25"/>
  <cols>
    <col min="1" max="1" width="3.8984375" style="19" customWidth="1"/>
    <col min="2" max="2" width="7.09765625" style="19" bestFit="1" customWidth="1"/>
    <col min="3" max="3" width="18.09765625" style="34" bestFit="1" customWidth="1"/>
    <col min="4" max="4" width="19.09765625" style="35" customWidth="1"/>
    <col min="5" max="9" width="5.8984375" style="19" customWidth="1"/>
    <col min="10" max="11" width="5.8984375" style="36" customWidth="1"/>
    <col min="12" max="12" width="6.69921875" style="19" customWidth="1"/>
    <col min="13" max="13" width="5.8984375" style="19" customWidth="1"/>
    <col min="14" max="15" width="6" style="19" customWidth="1"/>
    <col min="16" max="21" width="5.8984375" style="19" customWidth="1"/>
    <col min="22" max="22" width="5.69921875" style="19" customWidth="1"/>
    <col min="23" max="23" width="3.19921875" style="19" customWidth="1"/>
    <col min="24" max="16384" width="9.09765625" style="19"/>
  </cols>
  <sheetData>
    <row r="1" spans="1:23" ht="22.5" customHeight="1" x14ac:dyDescent="0.25">
      <c r="A1" s="21"/>
      <c r="B1" s="21"/>
      <c r="C1" s="22"/>
      <c r="D1" s="135" t="s">
        <v>12</v>
      </c>
      <c r="E1" s="135"/>
      <c r="F1" s="23">
        <f>INFO!C3</f>
        <v>1</v>
      </c>
      <c r="G1" s="23"/>
      <c r="H1" s="23"/>
      <c r="I1" s="21" t="s">
        <v>13</v>
      </c>
      <c r="J1" s="21"/>
      <c r="K1" s="21"/>
      <c r="L1" s="23">
        <f>INFO!C4</f>
        <v>2026</v>
      </c>
      <c r="M1" s="24"/>
      <c r="N1" s="21"/>
      <c r="O1" s="21"/>
      <c r="P1" s="21"/>
      <c r="Q1" s="21"/>
      <c r="R1" s="21"/>
      <c r="S1" s="21"/>
      <c r="T1" s="21"/>
      <c r="U1" s="21"/>
    </row>
    <row r="2" spans="1:23" ht="19.5" customHeight="1" x14ac:dyDescent="0.25">
      <c r="A2" s="21"/>
      <c r="B2" s="21"/>
      <c r="C2" s="25" t="s">
        <v>7</v>
      </c>
      <c r="D2" s="23" t="str">
        <f>INFO!C11</f>
        <v>Mr.Nadir</v>
      </c>
      <c r="E2" s="21" t="s">
        <v>6</v>
      </c>
      <c r="F2" s="42"/>
      <c r="G2" s="58" t="str">
        <f>INFO!B11</f>
        <v>Arts</v>
      </c>
      <c r="I2" s="26" t="str">
        <f>INFO!C6</f>
        <v>Bilingual Program</v>
      </c>
      <c r="J2" s="21"/>
      <c r="K2" s="21"/>
      <c r="L2" s="21"/>
      <c r="M2" s="21" t="s">
        <v>3</v>
      </c>
      <c r="N2" s="26" t="str">
        <f>INFO!C5</f>
        <v>P.1/3</v>
      </c>
      <c r="O2" s="26"/>
      <c r="P2" s="26"/>
      <c r="Q2" s="21"/>
      <c r="R2" s="21"/>
      <c r="S2" s="21"/>
      <c r="T2" s="21"/>
      <c r="U2" s="21"/>
    </row>
    <row r="3" spans="1:23" ht="9" customHeight="1" x14ac:dyDescent="0.25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</row>
    <row r="4" spans="1:23" ht="24" customHeight="1" x14ac:dyDescent="0.25">
      <c r="A4" s="136" t="s">
        <v>14</v>
      </c>
      <c r="B4" s="126" t="s">
        <v>15</v>
      </c>
      <c r="C4" s="126"/>
      <c r="D4" s="126"/>
      <c r="E4" s="126" t="s">
        <v>16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</row>
    <row r="5" spans="1:23" ht="40.5" customHeight="1" x14ac:dyDescent="0.25">
      <c r="A5" s="137"/>
      <c r="B5" s="126"/>
      <c r="C5" s="126"/>
      <c r="D5" s="126"/>
      <c r="E5" s="148" t="s">
        <v>17</v>
      </c>
      <c r="F5" s="148"/>
      <c r="G5" s="148"/>
      <c r="H5" s="148"/>
      <c r="I5" s="130" t="s">
        <v>18</v>
      </c>
      <c r="J5" s="130" t="s">
        <v>19</v>
      </c>
      <c r="K5" s="149" t="s">
        <v>20</v>
      </c>
      <c r="L5" s="150" t="s">
        <v>21</v>
      </c>
      <c r="M5" s="151" t="s">
        <v>17</v>
      </c>
      <c r="N5" s="151"/>
      <c r="O5" s="151"/>
      <c r="P5" s="152"/>
      <c r="Q5" s="133" t="s">
        <v>18</v>
      </c>
      <c r="R5" s="133" t="s">
        <v>22</v>
      </c>
      <c r="S5" s="143" t="s">
        <v>20</v>
      </c>
      <c r="T5" s="134" t="s">
        <v>23</v>
      </c>
      <c r="U5" s="133" t="s">
        <v>24</v>
      </c>
      <c r="V5" s="147" t="s">
        <v>32</v>
      </c>
    </row>
    <row r="6" spans="1:23" ht="27.9" customHeight="1" x14ac:dyDescent="0.25">
      <c r="A6" s="137"/>
      <c r="B6" s="126"/>
      <c r="C6" s="126"/>
      <c r="D6" s="146"/>
      <c r="E6" s="27"/>
      <c r="F6" s="28"/>
      <c r="G6" s="28"/>
      <c r="H6" s="29"/>
      <c r="I6" s="138"/>
      <c r="J6" s="131"/>
      <c r="K6" s="139"/>
      <c r="L6" s="140"/>
      <c r="M6" s="28"/>
      <c r="N6" s="28"/>
      <c r="O6" s="28"/>
      <c r="P6" s="28"/>
      <c r="Q6" s="133"/>
      <c r="R6" s="133"/>
      <c r="S6" s="143"/>
      <c r="T6" s="134"/>
      <c r="U6" s="133"/>
      <c r="V6" s="147"/>
    </row>
    <row r="7" spans="1:23" ht="27.9" customHeight="1" x14ac:dyDescent="0.25">
      <c r="A7" s="137"/>
      <c r="B7" s="126"/>
      <c r="C7" s="126"/>
      <c r="D7" s="126"/>
      <c r="E7" s="130" t="s">
        <v>25</v>
      </c>
      <c r="F7" s="130" t="s">
        <v>26</v>
      </c>
      <c r="G7" s="130" t="s">
        <v>27</v>
      </c>
      <c r="H7" s="130" t="s">
        <v>28</v>
      </c>
      <c r="I7" s="131"/>
      <c r="J7" s="131"/>
      <c r="K7" s="139"/>
      <c r="L7" s="140"/>
      <c r="M7" s="144" t="s">
        <v>25</v>
      </c>
      <c r="N7" s="132" t="s">
        <v>26</v>
      </c>
      <c r="O7" s="132" t="s">
        <v>27</v>
      </c>
      <c r="P7" s="141" t="s">
        <v>28</v>
      </c>
      <c r="Q7" s="133"/>
      <c r="R7" s="133"/>
      <c r="S7" s="143"/>
      <c r="T7" s="134"/>
      <c r="U7" s="133"/>
      <c r="V7" s="147"/>
    </row>
    <row r="8" spans="1:23" ht="21" customHeight="1" x14ac:dyDescent="0.25">
      <c r="A8" s="137"/>
      <c r="B8" s="126"/>
      <c r="C8" s="126"/>
      <c r="D8" s="126"/>
      <c r="E8" s="131"/>
      <c r="F8" s="131"/>
      <c r="G8" s="131"/>
      <c r="H8" s="131"/>
      <c r="I8" s="131"/>
      <c r="J8" s="131"/>
      <c r="K8" s="139"/>
      <c r="L8" s="140"/>
      <c r="M8" s="145"/>
      <c r="N8" s="133"/>
      <c r="O8" s="133"/>
      <c r="P8" s="142"/>
      <c r="Q8" s="133"/>
      <c r="R8" s="133"/>
      <c r="S8" s="143"/>
      <c r="T8" s="134"/>
      <c r="U8" s="133"/>
      <c r="V8" s="147"/>
    </row>
    <row r="9" spans="1:23" ht="20.100000000000001" customHeight="1" x14ac:dyDescent="0.25">
      <c r="A9" s="137"/>
      <c r="B9" s="127"/>
      <c r="C9" s="127"/>
      <c r="D9" s="127"/>
      <c r="E9" s="38">
        <v>10</v>
      </c>
      <c r="F9" s="38">
        <v>10</v>
      </c>
      <c r="G9" s="38">
        <v>10</v>
      </c>
      <c r="H9" s="38">
        <v>5</v>
      </c>
      <c r="I9" s="39">
        <f>SUM(E9:H9)</f>
        <v>35</v>
      </c>
      <c r="J9" s="40">
        <v>15</v>
      </c>
      <c r="K9" s="41">
        <v>10</v>
      </c>
      <c r="L9" s="57">
        <f>SUM(I9:J9)</f>
        <v>50</v>
      </c>
      <c r="M9" s="37">
        <v>10</v>
      </c>
      <c r="N9" s="30">
        <v>10</v>
      </c>
      <c r="O9" s="30">
        <v>10</v>
      </c>
      <c r="P9" s="30">
        <v>5</v>
      </c>
      <c r="Q9" s="31">
        <f>SUM(M9:P9)</f>
        <v>35</v>
      </c>
      <c r="R9" s="32">
        <v>15</v>
      </c>
      <c r="S9" s="11">
        <v>10</v>
      </c>
      <c r="T9" s="33">
        <f>SUM(Q9:R9)</f>
        <v>50</v>
      </c>
      <c r="U9" s="73">
        <f>SUM(L9,T9)</f>
        <v>100</v>
      </c>
      <c r="V9" s="147"/>
    </row>
    <row r="10" spans="1:23" ht="24" customHeight="1" x14ac:dyDescent="0.6">
      <c r="A10" s="17">
        <v>1</v>
      </c>
      <c r="B10" s="65">
        <v>12345</v>
      </c>
      <c r="C10" s="84" t="s">
        <v>34</v>
      </c>
      <c r="D10" s="45" t="s">
        <v>35</v>
      </c>
      <c r="E10" s="64">
        <v>10</v>
      </c>
      <c r="F10" s="63">
        <v>10</v>
      </c>
      <c r="G10" s="62">
        <v>10</v>
      </c>
      <c r="H10" s="62">
        <v>5</v>
      </c>
      <c r="I10" s="39">
        <f t="shared" ref="I10:I31" si="0">SUM(E10:H10)</f>
        <v>35</v>
      </c>
      <c r="J10" s="56">
        <v>15</v>
      </c>
      <c r="K10" s="20"/>
      <c r="L10" s="57">
        <f t="shared" ref="L10:L38" si="1">SUM(I10:J10)</f>
        <v>50</v>
      </c>
      <c r="M10" s="74">
        <v>10</v>
      </c>
      <c r="N10" s="74">
        <v>10</v>
      </c>
      <c r="O10" s="74">
        <v>10</v>
      </c>
      <c r="P10" s="74">
        <v>5</v>
      </c>
      <c r="Q10" s="31">
        <f t="shared" ref="Q10:Q37" si="2">SUM(M10:P10)</f>
        <v>35</v>
      </c>
      <c r="R10" s="74"/>
      <c r="S10" s="20"/>
      <c r="T10" s="33"/>
      <c r="U10" s="73"/>
      <c r="V10" s="93">
        <f>IF(U11&gt;=80,4,
IF(U11&gt;=75,3.5,
IF(U11&gt;=70,3,
IF(U11&gt;=65,2.5,
IF(U11&gt;=60,2,
IF(U11&gt;=55,1.5,
IF(U11&gt;=50,1,0)))))))</f>
        <v>0</v>
      </c>
      <c r="W10" s="18"/>
    </row>
    <row r="11" spans="1:23" ht="24" customHeight="1" x14ac:dyDescent="0.6">
      <c r="A11" s="17">
        <v>2</v>
      </c>
      <c r="B11" s="65">
        <v>12346</v>
      </c>
      <c r="C11" s="84" t="s">
        <v>36</v>
      </c>
      <c r="D11" s="45" t="s">
        <v>37</v>
      </c>
      <c r="E11" s="64">
        <v>10</v>
      </c>
      <c r="F11" s="63">
        <v>10</v>
      </c>
      <c r="G11" s="62">
        <v>10</v>
      </c>
      <c r="H11" s="62">
        <v>5</v>
      </c>
      <c r="I11" s="39">
        <f t="shared" si="0"/>
        <v>35</v>
      </c>
      <c r="J11" s="56">
        <v>15</v>
      </c>
      <c r="K11" s="20"/>
      <c r="L11" s="57">
        <f t="shared" si="1"/>
        <v>50</v>
      </c>
      <c r="M11" s="74">
        <v>10</v>
      </c>
      <c r="N11" s="74">
        <v>10</v>
      </c>
      <c r="O11" s="74">
        <v>10</v>
      </c>
      <c r="P11" s="74">
        <v>5</v>
      </c>
      <c r="Q11" s="31">
        <f t="shared" si="2"/>
        <v>35</v>
      </c>
      <c r="R11" s="74"/>
      <c r="S11" s="20"/>
      <c r="T11" s="33"/>
      <c r="U11" s="73"/>
      <c r="V11" s="93">
        <f t="shared" ref="V11:V55" si="3">IF(U12&gt;=80,4,
IF(U12&gt;=75,3.5,
IF(U12&gt;=70,3,
IF(U12&gt;=65,2.5,
IF(U12&gt;=60,2,
IF(U12&gt;=55,1.5,
IF(U12&gt;=50,1,0)))))))</f>
        <v>0</v>
      </c>
      <c r="W11" s="18"/>
    </row>
    <row r="12" spans="1:23" ht="24" customHeight="1" x14ac:dyDescent="0.6">
      <c r="A12" s="17">
        <v>3</v>
      </c>
      <c r="B12" s="65"/>
      <c r="C12" s="84"/>
      <c r="D12" s="45"/>
      <c r="E12" s="64">
        <v>10</v>
      </c>
      <c r="F12" s="63">
        <v>10</v>
      </c>
      <c r="G12" s="62">
        <v>10</v>
      </c>
      <c r="H12" s="62">
        <v>5</v>
      </c>
      <c r="I12" s="39">
        <f t="shared" si="0"/>
        <v>35</v>
      </c>
      <c r="J12" s="56">
        <v>15</v>
      </c>
      <c r="K12" s="20"/>
      <c r="L12" s="57">
        <f t="shared" si="1"/>
        <v>50</v>
      </c>
      <c r="M12" s="74">
        <v>10</v>
      </c>
      <c r="N12" s="74">
        <v>10</v>
      </c>
      <c r="O12" s="74">
        <v>10</v>
      </c>
      <c r="P12" s="74">
        <v>5</v>
      </c>
      <c r="Q12" s="31">
        <f t="shared" si="2"/>
        <v>35</v>
      </c>
      <c r="R12" s="74"/>
      <c r="S12" s="20"/>
      <c r="T12" s="33"/>
      <c r="U12" s="73"/>
      <c r="V12" s="93">
        <f t="shared" si="3"/>
        <v>0</v>
      </c>
      <c r="W12" s="18"/>
    </row>
    <row r="13" spans="1:23" ht="24" customHeight="1" x14ac:dyDescent="0.6">
      <c r="A13" s="17">
        <v>4</v>
      </c>
      <c r="B13" s="65"/>
      <c r="C13" s="84"/>
      <c r="D13" s="45"/>
      <c r="E13" s="64">
        <v>10</v>
      </c>
      <c r="F13" s="63">
        <v>10</v>
      </c>
      <c r="G13" s="62">
        <v>10</v>
      </c>
      <c r="H13" s="62">
        <v>5</v>
      </c>
      <c r="I13" s="39">
        <f t="shared" si="0"/>
        <v>35</v>
      </c>
      <c r="J13" s="56">
        <v>15</v>
      </c>
      <c r="K13" s="20"/>
      <c r="L13" s="57">
        <f t="shared" si="1"/>
        <v>50</v>
      </c>
      <c r="M13" s="74">
        <v>10</v>
      </c>
      <c r="N13" s="74">
        <v>10</v>
      </c>
      <c r="O13" s="74">
        <v>10</v>
      </c>
      <c r="P13" s="74">
        <v>5</v>
      </c>
      <c r="Q13" s="31">
        <f t="shared" si="2"/>
        <v>35</v>
      </c>
      <c r="R13" s="74"/>
      <c r="S13" s="20"/>
      <c r="T13" s="33"/>
      <c r="U13" s="73"/>
      <c r="V13" s="93">
        <f t="shared" si="3"/>
        <v>0</v>
      </c>
      <c r="W13" s="18"/>
    </row>
    <row r="14" spans="1:23" ht="24" customHeight="1" x14ac:dyDescent="0.6">
      <c r="A14" s="17">
        <v>5</v>
      </c>
      <c r="B14" s="65"/>
      <c r="C14" s="84"/>
      <c r="D14" s="45"/>
      <c r="E14" s="64">
        <v>10</v>
      </c>
      <c r="F14" s="63">
        <v>10</v>
      </c>
      <c r="G14" s="62">
        <v>10</v>
      </c>
      <c r="H14" s="62">
        <v>5</v>
      </c>
      <c r="I14" s="39">
        <f t="shared" si="0"/>
        <v>35</v>
      </c>
      <c r="J14" s="56">
        <v>15</v>
      </c>
      <c r="K14" s="20"/>
      <c r="L14" s="57">
        <f t="shared" si="1"/>
        <v>50</v>
      </c>
      <c r="M14" s="74">
        <v>10</v>
      </c>
      <c r="N14" s="74">
        <v>10</v>
      </c>
      <c r="O14" s="74">
        <v>10</v>
      </c>
      <c r="P14" s="74">
        <v>5</v>
      </c>
      <c r="Q14" s="31">
        <f t="shared" si="2"/>
        <v>35</v>
      </c>
      <c r="R14" s="74"/>
      <c r="S14" s="20"/>
      <c r="T14" s="33"/>
      <c r="U14" s="73"/>
      <c r="V14" s="93">
        <f t="shared" si="3"/>
        <v>0</v>
      </c>
      <c r="W14" s="18"/>
    </row>
    <row r="15" spans="1:23" ht="24" customHeight="1" x14ac:dyDescent="0.6">
      <c r="A15" s="17">
        <v>6</v>
      </c>
      <c r="B15" s="66"/>
      <c r="C15" s="85"/>
      <c r="D15" s="55"/>
      <c r="E15" s="64">
        <v>10</v>
      </c>
      <c r="F15" s="63">
        <v>10</v>
      </c>
      <c r="G15" s="62">
        <v>10</v>
      </c>
      <c r="H15" s="62">
        <v>5</v>
      </c>
      <c r="I15" s="39">
        <f t="shared" si="0"/>
        <v>35</v>
      </c>
      <c r="J15" s="56">
        <v>15</v>
      </c>
      <c r="K15" s="20"/>
      <c r="L15" s="57">
        <f t="shared" si="1"/>
        <v>50</v>
      </c>
      <c r="M15" s="74">
        <v>10</v>
      </c>
      <c r="N15" s="74">
        <v>10</v>
      </c>
      <c r="O15" s="74">
        <v>10</v>
      </c>
      <c r="P15" s="74">
        <v>5</v>
      </c>
      <c r="Q15" s="31">
        <f t="shared" si="2"/>
        <v>35</v>
      </c>
      <c r="R15" s="74"/>
      <c r="S15" s="20"/>
      <c r="T15" s="33"/>
      <c r="U15" s="73"/>
      <c r="V15" s="93">
        <f t="shared" si="3"/>
        <v>0</v>
      </c>
      <c r="W15" s="18"/>
    </row>
    <row r="16" spans="1:23" ht="24" customHeight="1" x14ac:dyDescent="0.6">
      <c r="A16" s="17">
        <v>7</v>
      </c>
      <c r="B16" s="65"/>
      <c r="C16" s="84"/>
      <c r="D16" s="45"/>
      <c r="E16" s="64">
        <v>10</v>
      </c>
      <c r="F16" s="63">
        <v>10</v>
      </c>
      <c r="G16" s="62">
        <v>10</v>
      </c>
      <c r="H16" s="62">
        <v>5</v>
      </c>
      <c r="I16" s="39">
        <f t="shared" si="0"/>
        <v>35</v>
      </c>
      <c r="J16" s="56">
        <v>15</v>
      </c>
      <c r="K16" s="20"/>
      <c r="L16" s="57">
        <f t="shared" si="1"/>
        <v>50</v>
      </c>
      <c r="M16" s="74">
        <v>10</v>
      </c>
      <c r="N16" s="74">
        <v>10</v>
      </c>
      <c r="O16" s="74">
        <v>10</v>
      </c>
      <c r="P16" s="74">
        <v>5</v>
      </c>
      <c r="Q16" s="31">
        <f t="shared" si="2"/>
        <v>35</v>
      </c>
      <c r="R16" s="74"/>
      <c r="S16" s="20"/>
      <c r="T16" s="33"/>
      <c r="U16" s="73"/>
      <c r="V16" s="93">
        <f t="shared" si="3"/>
        <v>0</v>
      </c>
      <c r="W16" s="18"/>
    </row>
    <row r="17" spans="1:23" ht="24" customHeight="1" x14ac:dyDescent="0.6">
      <c r="A17" s="17">
        <v>8</v>
      </c>
      <c r="B17" s="65"/>
      <c r="C17" s="84"/>
      <c r="D17" s="45"/>
      <c r="E17" s="64">
        <v>10</v>
      </c>
      <c r="F17" s="63">
        <v>10</v>
      </c>
      <c r="G17" s="62">
        <v>10</v>
      </c>
      <c r="H17" s="62">
        <v>5</v>
      </c>
      <c r="I17" s="39">
        <f t="shared" si="0"/>
        <v>35</v>
      </c>
      <c r="J17" s="56">
        <v>15</v>
      </c>
      <c r="K17" s="20"/>
      <c r="L17" s="57">
        <f t="shared" si="1"/>
        <v>50</v>
      </c>
      <c r="M17" s="74">
        <v>10</v>
      </c>
      <c r="N17" s="74">
        <v>10</v>
      </c>
      <c r="O17" s="74">
        <v>10</v>
      </c>
      <c r="P17" s="74">
        <v>5</v>
      </c>
      <c r="Q17" s="31">
        <f t="shared" si="2"/>
        <v>35</v>
      </c>
      <c r="R17" s="74"/>
      <c r="S17" s="20"/>
      <c r="T17" s="33"/>
      <c r="U17" s="73"/>
      <c r="V17" s="93">
        <f t="shared" si="3"/>
        <v>0</v>
      </c>
      <c r="W17" s="18"/>
    </row>
    <row r="18" spans="1:23" ht="24" customHeight="1" x14ac:dyDescent="0.6">
      <c r="A18" s="17">
        <v>9</v>
      </c>
      <c r="B18" s="65"/>
      <c r="C18" s="84"/>
      <c r="D18" s="45"/>
      <c r="E18" s="64">
        <v>10</v>
      </c>
      <c r="F18" s="63">
        <v>10</v>
      </c>
      <c r="G18" s="62">
        <v>10</v>
      </c>
      <c r="H18" s="62">
        <v>5</v>
      </c>
      <c r="I18" s="39">
        <f t="shared" si="0"/>
        <v>35</v>
      </c>
      <c r="J18" s="56">
        <v>15</v>
      </c>
      <c r="K18" s="20"/>
      <c r="L18" s="57">
        <f t="shared" si="1"/>
        <v>50</v>
      </c>
      <c r="M18" s="74">
        <v>10</v>
      </c>
      <c r="N18" s="74">
        <v>10</v>
      </c>
      <c r="O18" s="74">
        <v>10</v>
      </c>
      <c r="P18" s="74">
        <v>5</v>
      </c>
      <c r="Q18" s="31">
        <f t="shared" si="2"/>
        <v>35</v>
      </c>
      <c r="R18" s="74"/>
      <c r="S18" s="20"/>
      <c r="T18" s="33"/>
      <c r="U18" s="73"/>
      <c r="V18" s="93">
        <f t="shared" si="3"/>
        <v>0</v>
      </c>
      <c r="W18" s="18"/>
    </row>
    <row r="19" spans="1:23" ht="24" customHeight="1" x14ac:dyDescent="0.6">
      <c r="A19" s="17">
        <v>10</v>
      </c>
      <c r="B19" s="65"/>
      <c r="C19" s="84"/>
      <c r="D19" s="45"/>
      <c r="E19" s="64">
        <v>10</v>
      </c>
      <c r="F19" s="63">
        <v>10</v>
      </c>
      <c r="G19" s="62">
        <v>10</v>
      </c>
      <c r="H19" s="62">
        <v>5</v>
      </c>
      <c r="I19" s="39">
        <f t="shared" si="0"/>
        <v>35</v>
      </c>
      <c r="J19" s="56">
        <v>15</v>
      </c>
      <c r="K19" s="20"/>
      <c r="L19" s="57">
        <f t="shared" si="1"/>
        <v>50</v>
      </c>
      <c r="M19" s="74">
        <v>10</v>
      </c>
      <c r="N19" s="74">
        <v>10</v>
      </c>
      <c r="O19" s="74">
        <v>10</v>
      </c>
      <c r="P19" s="74">
        <v>5</v>
      </c>
      <c r="Q19" s="31">
        <f t="shared" si="2"/>
        <v>35</v>
      </c>
      <c r="R19" s="74"/>
      <c r="S19" s="20"/>
      <c r="T19" s="33"/>
      <c r="U19" s="73"/>
      <c r="V19" s="93">
        <f t="shared" si="3"/>
        <v>0</v>
      </c>
      <c r="W19" s="18"/>
    </row>
    <row r="20" spans="1:23" ht="24" customHeight="1" x14ac:dyDescent="0.6">
      <c r="A20" s="17">
        <v>11</v>
      </c>
      <c r="B20" s="65"/>
      <c r="C20" s="84"/>
      <c r="D20" s="45"/>
      <c r="E20" s="64">
        <v>10</v>
      </c>
      <c r="F20" s="63">
        <v>10</v>
      </c>
      <c r="G20" s="62">
        <v>10</v>
      </c>
      <c r="H20" s="62">
        <v>5</v>
      </c>
      <c r="I20" s="39">
        <f t="shared" si="0"/>
        <v>35</v>
      </c>
      <c r="J20" s="56">
        <v>15</v>
      </c>
      <c r="K20" s="20"/>
      <c r="L20" s="57">
        <f t="shared" si="1"/>
        <v>50</v>
      </c>
      <c r="M20" s="74">
        <v>10</v>
      </c>
      <c r="N20" s="74">
        <v>10</v>
      </c>
      <c r="O20" s="74">
        <v>10</v>
      </c>
      <c r="P20" s="74">
        <v>5</v>
      </c>
      <c r="Q20" s="31">
        <f t="shared" si="2"/>
        <v>35</v>
      </c>
      <c r="R20" s="74"/>
      <c r="S20" s="20"/>
      <c r="T20" s="33"/>
      <c r="U20" s="73"/>
      <c r="V20" s="93">
        <f t="shared" si="3"/>
        <v>0</v>
      </c>
      <c r="W20" s="18"/>
    </row>
    <row r="21" spans="1:23" ht="24" customHeight="1" x14ac:dyDescent="0.6">
      <c r="A21" s="17">
        <v>12</v>
      </c>
      <c r="B21" s="65"/>
      <c r="C21" s="84"/>
      <c r="D21" s="45"/>
      <c r="E21" s="64">
        <v>10</v>
      </c>
      <c r="F21" s="63">
        <v>10</v>
      </c>
      <c r="G21" s="62">
        <v>10</v>
      </c>
      <c r="H21" s="62">
        <v>5</v>
      </c>
      <c r="I21" s="39">
        <f t="shared" si="0"/>
        <v>35</v>
      </c>
      <c r="J21" s="56">
        <v>15</v>
      </c>
      <c r="K21" s="20"/>
      <c r="L21" s="57">
        <f t="shared" si="1"/>
        <v>50</v>
      </c>
      <c r="M21" s="74">
        <v>10</v>
      </c>
      <c r="N21" s="74">
        <v>10</v>
      </c>
      <c r="O21" s="74">
        <v>10</v>
      </c>
      <c r="P21" s="74">
        <v>5</v>
      </c>
      <c r="Q21" s="31">
        <f t="shared" si="2"/>
        <v>35</v>
      </c>
      <c r="R21" s="74"/>
      <c r="S21" s="20"/>
      <c r="T21" s="33"/>
      <c r="U21" s="73"/>
      <c r="V21" s="93">
        <f t="shared" si="3"/>
        <v>0</v>
      </c>
      <c r="W21" s="18"/>
    </row>
    <row r="22" spans="1:23" ht="24" customHeight="1" x14ac:dyDescent="0.6">
      <c r="A22" s="17">
        <v>13</v>
      </c>
      <c r="B22" s="65"/>
      <c r="C22" s="84"/>
      <c r="D22" s="45"/>
      <c r="E22" s="64">
        <v>10</v>
      </c>
      <c r="F22" s="63">
        <v>10</v>
      </c>
      <c r="G22" s="62">
        <v>10</v>
      </c>
      <c r="H22" s="62">
        <v>5</v>
      </c>
      <c r="I22" s="39">
        <f t="shared" si="0"/>
        <v>35</v>
      </c>
      <c r="J22" s="56">
        <v>15</v>
      </c>
      <c r="K22" s="20"/>
      <c r="L22" s="57">
        <f t="shared" si="1"/>
        <v>50</v>
      </c>
      <c r="M22" s="74">
        <v>10</v>
      </c>
      <c r="N22" s="74">
        <v>10</v>
      </c>
      <c r="O22" s="74">
        <v>10</v>
      </c>
      <c r="P22" s="74">
        <v>5</v>
      </c>
      <c r="Q22" s="31">
        <f t="shared" si="2"/>
        <v>35</v>
      </c>
      <c r="R22" s="74"/>
      <c r="S22" s="20"/>
      <c r="T22" s="33"/>
      <c r="U22" s="73"/>
      <c r="V22" s="93">
        <f t="shared" si="3"/>
        <v>0</v>
      </c>
      <c r="W22" s="18"/>
    </row>
    <row r="23" spans="1:23" ht="24" customHeight="1" x14ac:dyDescent="0.6">
      <c r="A23" s="17">
        <v>14</v>
      </c>
      <c r="B23" s="65"/>
      <c r="C23" s="84"/>
      <c r="D23" s="45"/>
      <c r="E23" s="64">
        <v>10</v>
      </c>
      <c r="F23" s="63">
        <v>10</v>
      </c>
      <c r="G23" s="62">
        <v>10</v>
      </c>
      <c r="H23" s="62">
        <v>5</v>
      </c>
      <c r="I23" s="39">
        <f t="shared" si="0"/>
        <v>35</v>
      </c>
      <c r="J23" s="56">
        <v>15</v>
      </c>
      <c r="K23" s="20"/>
      <c r="L23" s="57">
        <f t="shared" si="1"/>
        <v>50</v>
      </c>
      <c r="M23" s="74">
        <v>10</v>
      </c>
      <c r="N23" s="74">
        <v>10</v>
      </c>
      <c r="O23" s="74">
        <v>10</v>
      </c>
      <c r="P23" s="74">
        <v>5</v>
      </c>
      <c r="Q23" s="31">
        <f t="shared" si="2"/>
        <v>35</v>
      </c>
      <c r="R23" s="74"/>
      <c r="S23" s="20"/>
      <c r="T23" s="33"/>
      <c r="U23" s="73"/>
      <c r="V23" s="93">
        <f t="shared" si="3"/>
        <v>0</v>
      </c>
      <c r="W23" s="18"/>
    </row>
    <row r="24" spans="1:23" ht="24" customHeight="1" x14ac:dyDescent="0.6">
      <c r="A24" s="17">
        <v>15</v>
      </c>
      <c r="B24" s="65"/>
      <c r="C24" s="84"/>
      <c r="D24" s="45"/>
      <c r="E24" s="64">
        <v>10</v>
      </c>
      <c r="F24" s="63">
        <v>10</v>
      </c>
      <c r="G24" s="62">
        <v>10</v>
      </c>
      <c r="H24" s="62">
        <v>5</v>
      </c>
      <c r="I24" s="39">
        <f t="shared" si="0"/>
        <v>35</v>
      </c>
      <c r="J24" s="56">
        <v>15</v>
      </c>
      <c r="K24" s="20"/>
      <c r="L24" s="57">
        <f t="shared" si="1"/>
        <v>50</v>
      </c>
      <c r="M24" s="74">
        <v>10</v>
      </c>
      <c r="N24" s="74">
        <v>10</v>
      </c>
      <c r="O24" s="74">
        <v>10</v>
      </c>
      <c r="P24" s="74">
        <v>5</v>
      </c>
      <c r="Q24" s="31">
        <f t="shared" si="2"/>
        <v>35</v>
      </c>
      <c r="R24" s="74"/>
      <c r="S24" s="20"/>
      <c r="T24" s="33"/>
      <c r="U24" s="73"/>
      <c r="V24" s="93">
        <f t="shared" si="3"/>
        <v>0</v>
      </c>
      <c r="W24" s="18"/>
    </row>
    <row r="25" spans="1:23" ht="24" customHeight="1" x14ac:dyDescent="0.6">
      <c r="A25" s="17">
        <v>16</v>
      </c>
      <c r="B25" s="65"/>
      <c r="C25" s="84"/>
      <c r="D25" s="45"/>
      <c r="E25" s="64">
        <v>10</v>
      </c>
      <c r="F25" s="63">
        <v>10</v>
      </c>
      <c r="G25" s="62">
        <v>10</v>
      </c>
      <c r="H25" s="62">
        <v>5</v>
      </c>
      <c r="I25" s="39">
        <f t="shared" si="0"/>
        <v>35</v>
      </c>
      <c r="J25" s="56">
        <v>15</v>
      </c>
      <c r="K25" s="20"/>
      <c r="L25" s="57">
        <f t="shared" si="1"/>
        <v>50</v>
      </c>
      <c r="M25" s="74">
        <v>10</v>
      </c>
      <c r="N25" s="74">
        <v>10</v>
      </c>
      <c r="O25" s="74">
        <v>10</v>
      </c>
      <c r="P25" s="74">
        <v>5</v>
      </c>
      <c r="Q25" s="31">
        <f t="shared" si="2"/>
        <v>35</v>
      </c>
      <c r="R25" s="74"/>
      <c r="S25" s="20"/>
      <c r="T25" s="33"/>
      <c r="U25" s="73"/>
      <c r="V25" s="93">
        <f t="shared" si="3"/>
        <v>0</v>
      </c>
      <c r="W25" s="18"/>
    </row>
    <row r="26" spans="1:23" ht="24" customHeight="1" x14ac:dyDescent="0.6">
      <c r="A26" s="17">
        <v>17</v>
      </c>
      <c r="B26" s="65"/>
      <c r="C26" s="84"/>
      <c r="D26" s="45"/>
      <c r="E26" s="64">
        <v>10</v>
      </c>
      <c r="F26" s="63">
        <v>10</v>
      </c>
      <c r="G26" s="62">
        <v>10</v>
      </c>
      <c r="H26" s="62">
        <v>5</v>
      </c>
      <c r="I26" s="39">
        <f t="shared" si="0"/>
        <v>35</v>
      </c>
      <c r="J26" s="56">
        <v>15</v>
      </c>
      <c r="K26" s="20"/>
      <c r="L26" s="57">
        <f t="shared" si="1"/>
        <v>50</v>
      </c>
      <c r="M26" s="74">
        <v>10</v>
      </c>
      <c r="N26" s="74">
        <v>10</v>
      </c>
      <c r="O26" s="74">
        <v>10</v>
      </c>
      <c r="P26" s="74">
        <v>5</v>
      </c>
      <c r="Q26" s="31">
        <f t="shared" si="2"/>
        <v>35</v>
      </c>
      <c r="R26" s="74"/>
      <c r="S26" s="20"/>
      <c r="T26" s="33"/>
      <c r="U26" s="73"/>
      <c r="V26" s="93">
        <f t="shared" si="3"/>
        <v>0</v>
      </c>
      <c r="W26" s="18"/>
    </row>
    <row r="27" spans="1:23" ht="24" customHeight="1" x14ac:dyDescent="0.6">
      <c r="A27" s="17">
        <v>18</v>
      </c>
      <c r="B27" s="65"/>
      <c r="C27" s="84"/>
      <c r="D27" s="45"/>
      <c r="E27" s="64">
        <v>10</v>
      </c>
      <c r="F27" s="63">
        <v>10</v>
      </c>
      <c r="G27" s="62">
        <v>10</v>
      </c>
      <c r="H27" s="62">
        <v>5</v>
      </c>
      <c r="I27" s="39">
        <f t="shared" si="0"/>
        <v>35</v>
      </c>
      <c r="J27" s="56">
        <v>15</v>
      </c>
      <c r="K27" s="20"/>
      <c r="L27" s="57">
        <f t="shared" si="1"/>
        <v>50</v>
      </c>
      <c r="M27" s="74">
        <v>10</v>
      </c>
      <c r="N27" s="74">
        <v>10</v>
      </c>
      <c r="O27" s="74">
        <v>10</v>
      </c>
      <c r="P27" s="74">
        <v>5</v>
      </c>
      <c r="Q27" s="31">
        <f t="shared" si="2"/>
        <v>35</v>
      </c>
      <c r="R27" s="74"/>
      <c r="S27" s="20"/>
      <c r="T27" s="33"/>
      <c r="U27" s="73"/>
      <c r="V27" s="93">
        <f t="shared" si="3"/>
        <v>0</v>
      </c>
      <c r="W27" s="18"/>
    </row>
    <row r="28" spans="1:23" ht="24" customHeight="1" x14ac:dyDescent="0.6">
      <c r="A28" s="17">
        <v>19</v>
      </c>
      <c r="B28" s="65"/>
      <c r="C28" s="84"/>
      <c r="D28" s="45"/>
      <c r="E28" s="64">
        <v>10</v>
      </c>
      <c r="F28" s="63">
        <v>10</v>
      </c>
      <c r="G28" s="62">
        <v>10</v>
      </c>
      <c r="H28" s="62">
        <v>5</v>
      </c>
      <c r="I28" s="39">
        <f t="shared" si="0"/>
        <v>35</v>
      </c>
      <c r="J28" s="56">
        <v>15</v>
      </c>
      <c r="K28" s="20"/>
      <c r="L28" s="57">
        <f t="shared" si="1"/>
        <v>50</v>
      </c>
      <c r="M28" s="74">
        <v>10</v>
      </c>
      <c r="N28" s="74">
        <v>10</v>
      </c>
      <c r="O28" s="74">
        <v>10</v>
      </c>
      <c r="P28" s="74">
        <v>5</v>
      </c>
      <c r="Q28" s="31">
        <f t="shared" si="2"/>
        <v>35</v>
      </c>
      <c r="R28" s="74"/>
      <c r="S28" s="20"/>
      <c r="T28" s="33"/>
      <c r="U28" s="73"/>
      <c r="V28" s="93">
        <f t="shared" si="3"/>
        <v>0</v>
      </c>
      <c r="W28" s="18"/>
    </row>
    <row r="29" spans="1:23" ht="24" customHeight="1" x14ac:dyDescent="0.6">
      <c r="A29" s="17">
        <v>20</v>
      </c>
      <c r="B29" s="65"/>
      <c r="C29" s="84"/>
      <c r="D29" s="45"/>
      <c r="E29" s="64">
        <v>10</v>
      </c>
      <c r="F29" s="63">
        <v>10</v>
      </c>
      <c r="G29" s="62">
        <v>10</v>
      </c>
      <c r="H29" s="62">
        <v>5</v>
      </c>
      <c r="I29" s="39">
        <f t="shared" si="0"/>
        <v>35</v>
      </c>
      <c r="J29" s="56">
        <v>15</v>
      </c>
      <c r="K29" s="20"/>
      <c r="L29" s="57">
        <f t="shared" si="1"/>
        <v>50</v>
      </c>
      <c r="M29" s="74">
        <v>10</v>
      </c>
      <c r="N29" s="74">
        <v>10</v>
      </c>
      <c r="O29" s="74">
        <v>10</v>
      </c>
      <c r="P29" s="74">
        <v>5</v>
      </c>
      <c r="Q29" s="31">
        <f t="shared" si="2"/>
        <v>35</v>
      </c>
      <c r="R29" s="74"/>
      <c r="S29" s="20"/>
      <c r="T29" s="33"/>
      <c r="U29" s="73"/>
      <c r="V29" s="93">
        <f t="shared" si="3"/>
        <v>0</v>
      </c>
      <c r="W29" s="18"/>
    </row>
    <row r="30" spans="1:23" ht="24" customHeight="1" x14ac:dyDescent="0.6">
      <c r="A30" s="17">
        <v>21</v>
      </c>
      <c r="B30" s="67"/>
      <c r="C30" s="86"/>
      <c r="D30" s="49"/>
      <c r="E30" s="64">
        <v>10</v>
      </c>
      <c r="F30" s="63">
        <v>10</v>
      </c>
      <c r="G30" s="62">
        <v>10</v>
      </c>
      <c r="H30" s="62">
        <v>5</v>
      </c>
      <c r="I30" s="39">
        <f t="shared" si="0"/>
        <v>35</v>
      </c>
      <c r="J30" s="56">
        <v>15</v>
      </c>
      <c r="K30" s="20"/>
      <c r="L30" s="57">
        <f t="shared" si="1"/>
        <v>50</v>
      </c>
      <c r="M30" s="74">
        <v>10</v>
      </c>
      <c r="N30" s="74">
        <v>10</v>
      </c>
      <c r="O30" s="74">
        <v>10</v>
      </c>
      <c r="P30" s="74">
        <v>5</v>
      </c>
      <c r="Q30" s="31">
        <f t="shared" si="2"/>
        <v>35</v>
      </c>
      <c r="R30" s="74"/>
      <c r="S30" s="20"/>
      <c r="T30" s="33"/>
      <c r="U30" s="73"/>
      <c r="V30" s="93">
        <f t="shared" si="3"/>
        <v>0</v>
      </c>
      <c r="W30" s="18"/>
    </row>
    <row r="31" spans="1:23" ht="24" customHeight="1" x14ac:dyDescent="0.6">
      <c r="A31" s="17">
        <v>22</v>
      </c>
      <c r="B31" s="65"/>
      <c r="C31" s="84"/>
      <c r="D31" s="45"/>
      <c r="E31" s="64">
        <v>10</v>
      </c>
      <c r="F31" s="63">
        <v>10</v>
      </c>
      <c r="G31" s="62">
        <v>10</v>
      </c>
      <c r="H31" s="62">
        <v>5</v>
      </c>
      <c r="I31" s="39">
        <f t="shared" si="0"/>
        <v>35</v>
      </c>
      <c r="J31" s="56">
        <v>15</v>
      </c>
      <c r="K31" s="20"/>
      <c r="L31" s="57">
        <f t="shared" si="1"/>
        <v>50</v>
      </c>
      <c r="M31" s="74">
        <v>10</v>
      </c>
      <c r="N31" s="74">
        <v>10</v>
      </c>
      <c r="O31" s="74">
        <v>10</v>
      </c>
      <c r="P31" s="74">
        <v>5</v>
      </c>
      <c r="Q31" s="31">
        <f t="shared" si="2"/>
        <v>35</v>
      </c>
      <c r="R31" s="74"/>
      <c r="S31" s="20"/>
      <c r="T31" s="33"/>
      <c r="U31" s="73"/>
      <c r="V31" s="93">
        <f t="shared" si="3"/>
        <v>0</v>
      </c>
      <c r="W31" s="18"/>
    </row>
    <row r="32" spans="1:23" ht="24" customHeight="1" x14ac:dyDescent="0.6">
      <c r="A32" s="17">
        <v>23</v>
      </c>
      <c r="B32" s="65"/>
      <c r="C32" s="84"/>
      <c r="D32" s="45"/>
      <c r="E32" s="64">
        <v>10</v>
      </c>
      <c r="F32" s="63">
        <v>10</v>
      </c>
      <c r="G32" s="62">
        <v>10</v>
      </c>
      <c r="H32" s="62">
        <v>5</v>
      </c>
      <c r="I32" s="39">
        <f t="shared" ref="I32:I38" si="4">SUM(E32:H32)</f>
        <v>35</v>
      </c>
      <c r="J32" s="110">
        <v>15</v>
      </c>
      <c r="K32" s="20"/>
      <c r="L32" s="57">
        <f t="shared" si="1"/>
        <v>50</v>
      </c>
      <c r="M32" s="76">
        <v>10</v>
      </c>
      <c r="N32" s="76">
        <v>10</v>
      </c>
      <c r="O32" s="76">
        <v>10</v>
      </c>
      <c r="P32" s="76">
        <v>5</v>
      </c>
      <c r="Q32" s="31">
        <f t="shared" si="2"/>
        <v>35</v>
      </c>
      <c r="R32" s="76"/>
      <c r="S32" s="20"/>
      <c r="T32" s="111"/>
      <c r="U32" s="112"/>
      <c r="V32" s="93">
        <f t="shared" si="3"/>
        <v>0</v>
      </c>
      <c r="W32" s="18"/>
    </row>
    <row r="33" spans="1:23" ht="24" customHeight="1" x14ac:dyDescent="0.6">
      <c r="A33" s="17">
        <v>24</v>
      </c>
      <c r="B33" s="65"/>
      <c r="C33" s="84"/>
      <c r="D33" s="45"/>
      <c r="E33" s="64">
        <v>10</v>
      </c>
      <c r="F33" s="63">
        <v>10</v>
      </c>
      <c r="G33" s="62">
        <v>10</v>
      </c>
      <c r="H33" s="62">
        <v>5</v>
      </c>
      <c r="I33" s="39">
        <f t="shared" si="4"/>
        <v>35</v>
      </c>
      <c r="J33" s="56">
        <v>15</v>
      </c>
      <c r="K33" s="20"/>
      <c r="L33" s="57">
        <f t="shared" si="1"/>
        <v>50</v>
      </c>
      <c r="M33" s="74">
        <v>10</v>
      </c>
      <c r="N33" s="74">
        <v>10</v>
      </c>
      <c r="O33" s="74">
        <v>10</v>
      </c>
      <c r="P33" s="74">
        <v>5</v>
      </c>
      <c r="Q33" s="31">
        <f t="shared" si="2"/>
        <v>35</v>
      </c>
      <c r="R33" s="74"/>
      <c r="S33" s="20"/>
      <c r="T33" s="33"/>
      <c r="U33" s="73"/>
      <c r="V33" s="93">
        <f t="shared" si="3"/>
        <v>0</v>
      </c>
      <c r="W33" s="18"/>
    </row>
    <row r="34" spans="1:23" ht="24" customHeight="1" x14ac:dyDescent="0.6">
      <c r="A34" s="17">
        <v>25</v>
      </c>
      <c r="B34" s="65"/>
      <c r="C34" s="84"/>
      <c r="D34" s="45"/>
      <c r="E34" s="64">
        <v>10</v>
      </c>
      <c r="F34" s="63">
        <v>10</v>
      </c>
      <c r="G34" s="62">
        <v>10</v>
      </c>
      <c r="H34" s="62">
        <v>5</v>
      </c>
      <c r="I34" s="39">
        <f t="shared" si="4"/>
        <v>35</v>
      </c>
      <c r="J34" s="56">
        <v>15</v>
      </c>
      <c r="K34" s="20"/>
      <c r="L34" s="57">
        <f t="shared" si="1"/>
        <v>50</v>
      </c>
      <c r="M34" s="74">
        <v>10</v>
      </c>
      <c r="N34" s="74">
        <v>10</v>
      </c>
      <c r="O34" s="74">
        <v>10</v>
      </c>
      <c r="P34" s="74">
        <v>5</v>
      </c>
      <c r="Q34" s="31">
        <f t="shared" si="2"/>
        <v>35</v>
      </c>
      <c r="R34" s="74"/>
      <c r="S34" s="20"/>
      <c r="T34" s="33"/>
      <c r="U34" s="73"/>
      <c r="V34" s="93">
        <f t="shared" si="3"/>
        <v>0</v>
      </c>
      <c r="W34" s="18"/>
    </row>
    <row r="35" spans="1:23" ht="24" customHeight="1" x14ac:dyDescent="0.6">
      <c r="A35" s="17">
        <v>26</v>
      </c>
      <c r="B35" s="65"/>
      <c r="C35" s="84"/>
      <c r="D35" s="45"/>
      <c r="E35" s="64">
        <v>10</v>
      </c>
      <c r="F35" s="63">
        <v>10</v>
      </c>
      <c r="G35" s="62">
        <v>10</v>
      </c>
      <c r="H35" s="62">
        <v>5</v>
      </c>
      <c r="I35" s="39">
        <f t="shared" si="4"/>
        <v>35</v>
      </c>
      <c r="J35" s="56">
        <v>15</v>
      </c>
      <c r="K35" s="20"/>
      <c r="L35" s="57">
        <f t="shared" si="1"/>
        <v>50</v>
      </c>
      <c r="M35" s="74">
        <v>10</v>
      </c>
      <c r="N35" s="74">
        <v>10</v>
      </c>
      <c r="O35" s="74">
        <v>10</v>
      </c>
      <c r="P35" s="74">
        <v>5</v>
      </c>
      <c r="Q35" s="31">
        <f t="shared" si="2"/>
        <v>35</v>
      </c>
      <c r="R35" s="74"/>
      <c r="S35" s="20"/>
      <c r="T35" s="33"/>
      <c r="U35" s="73"/>
      <c r="V35" s="93">
        <f t="shared" si="3"/>
        <v>0</v>
      </c>
      <c r="W35" s="18"/>
    </row>
    <row r="36" spans="1:23" ht="24" customHeight="1" x14ac:dyDescent="0.6">
      <c r="A36" s="60">
        <v>27</v>
      </c>
      <c r="B36" s="65"/>
      <c r="C36" s="84"/>
      <c r="D36" s="45"/>
      <c r="E36" s="64">
        <v>10</v>
      </c>
      <c r="F36" s="63">
        <v>10</v>
      </c>
      <c r="G36" s="62">
        <v>10</v>
      </c>
      <c r="H36" s="62">
        <v>5</v>
      </c>
      <c r="I36" s="39">
        <f t="shared" si="4"/>
        <v>35</v>
      </c>
      <c r="J36" s="56">
        <v>15</v>
      </c>
      <c r="K36" s="20"/>
      <c r="L36" s="57">
        <f t="shared" si="1"/>
        <v>50</v>
      </c>
      <c r="M36" s="74">
        <v>10</v>
      </c>
      <c r="N36" s="74">
        <v>10</v>
      </c>
      <c r="O36" s="74">
        <v>10</v>
      </c>
      <c r="P36" s="74">
        <v>5</v>
      </c>
      <c r="Q36" s="31">
        <f t="shared" si="2"/>
        <v>35</v>
      </c>
      <c r="R36" s="74"/>
      <c r="S36" s="20"/>
      <c r="T36" s="33"/>
      <c r="U36" s="73"/>
      <c r="V36" s="93">
        <f t="shared" si="3"/>
        <v>0</v>
      </c>
      <c r="W36" s="18"/>
    </row>
    <row r="37" spans="1:23" ht="24" customHeight="1" x14ac:dyDescent="0.6">
      <c r="A37" s="60">
        <v>28</v>
      </c>
      <c r="B37" s="67"/>
      <c r="C37" s="86"/>
      <c r="D37" s="49"/>
      <c r="E37" s="115">
        <v>10</v>
      </c>
      <c r="F37" s="116">
        <v>10</v>
      </c>
      <c r="G37" s="117">
        <v>10</v>
      </c>
      <c r="H37" s="117">
        <v>5</v>
      </c>
      <c r="I37" s="31">
        <f t="shared" si="4"/>
        <v>35</v>
      </c>
      <c r="J37" s="56">
        <v>15</v>
      </c>
      <c r="K37" s="20"/>
      <c r="L37" s="57">
        <f t="shared" si="1"/>
        <v>50</v>
      </c>
      <c r="M37" s="74">
        <v>10</v>
      </c>
      <c r="N37" s="74">
        <v>10</v>
      </c>
      <c r="O37" s="74">
        <v>10</v>
      </c>
      <c r="P37" s="74">
        <v>5</v>
      </c>
      <c r="Q37" s="31">
        <f t="shared" si="2"/>
        <v>35</v>
      </c>
      <c r="R37" s="74"/>
      <c r="S37" s="20"/>
      <c r="T37" s="33"/>
      <c r="U37" s="73"/>
      <c r="V37" s="93">
        <f t="shared" si="3"/>
        <v>0</v>
      </c>
      <c r="W37" s="18"/>
    </row>
    <row r="38" spans="1:23" ht="24" customHeight="1" x14ac:dyDescent="0.6">
      <c r="A38" s="60">
        <v>29</v>
      </c>
      <c r="B38" s="65"/>
      <c r="C38" s="121"/>
      <c r="D38" s="105"/>
      <c r="E38" s="115">
        <v>10</v>
      </c>
      <c r="F38" s="116">
        <v>10</v>
      </c>
      <c r="G38" s="117">
        <v>10</v>
      </c>
      <c r="H38" s="117">
        <v>5</v>
      </c>
      <c r="I38" s="31">
        <f t="shared" si="4"/>
        <v>35</v>
      </c>
      <c r="J38" s="108">
        <v>15</v>
      </c>
      <c r="K38" s="20"/>
      <c r="L38" s="57">
        <f t="shared" si="1"/>
        <v>50</v>
      </c>
      <c r="M38" s="74">
        <v>10</v>
      </c>
      <c r="N38" s="74">
        <v>10</v>
      </c>
      <c r="O38" s="74">
        <v>10</v>
      </c>
      <c r="P38" s="74">
        <v>5</v>
      </c>
      <c r="Q38" s="31">
        <f>SUM(M38:P38)</f>
        <v>35</v>
      </c>
      <c r="R38" s="74"/>
      <c r="S38" s="20"/>
      <c r="T38" s="33"/>
      <c r="U38" s="73"/>
      <c r="V38" s="93">
        <f t="shared" si="3"/>
        <v>0</v>
      </c>
      <c r="W38" s="18"/>
    </row>
    <row r="39" spans="1:23" ht="24" customHeight="1" x14ac:dyDescent="0.6">
      <c r="A39" s="60">
        <v>30</v>
      </c>
      <c r="C39" s="99"/>
      <c r="D39" s="100"/>
      <c r="E39" s="122"/>
      <c r="F39" s="122"/>
      <c r="G39" s="122"/>
      <c r="H39" s="122"/>
      <c r="I39" s="39"/>
      <c r="J39" s="108"/>
      <c r="K39" s="20"/>
      <c r="L39" s="57"/>
      <c r="M39" s="74"/>
      <c r="N39" s="74"/>
      <c r="O39" s="74"/>
      <c r="P39" s="74"/>
      <c r="Q39" s="31"/>
      <c r="R39" s="74"/>
      <c r="S39" s="20"/>
      <c r="T39" s="33"/>
      <c r="U39" s="73"/>
      <c r="V39" s="93">
        <f t="shared" si="3"/>
        <v>0</v>
      </c>
      <c r="W39" s="18"/>
    </row>
    <row r="40" spans="1:23" ht="24" customHeight="1" x14ac:dyDescent="0.6">
      <c r="A40" s="60">
        <v>31</v>
      </c>
      <c r="B40" s="65"/>
      <c r="C40" s="84"/>
      <c r="D40" s="45"/>
      <c r="E40" s="118"/>
      <c r="F40" s="119"/>
      <c r="G40" s="120"/>
      <c r="H40" s="120"/>
      <c r="I40" s="109"/>
      <c r="J40" s="56"/>
      <c r="K40" s="20"/>
      <c r="L40" s="57"/>
      <c r="M40" s="74"/>
      <c r="N40" s="74"/>
      <c r="O40" s="74"/>
      <c r="P40" s="74"/>
      <c r="Q40" s="31"/>
      <c r="R40" s="74"/>
      <c r="S40" s="20"/>
      <c r="T40" s="33"/>
      <c r="U40" s="73"/>
      <c r="V40" s="93">
        <f t="shared" si="3"/>
        <v>0</v>
      </c>
      <c r="W40" s="18"/>
    </row>
    <row r="41" spans="1:23" x14ac:dyDescent="0.25">
      <c r="A41" s="60">
        <v>32</v>
      </c>
      <c r="B41" s="68"/>
      <c r="C41" s="84"/>
      <c r="D41" s="50"/>
      <c r="E41" s="64"/>
      <c r="F41" s="63"/>
      <c r="G41" s="62"/>
      <c r="H41" s="62"/>
      <c r="I41" s="39"/>
      <c r="J41" s="56"/>
      <c r="K41" s="20"/>
      <c r="L41" s="57"/>
      <c r="M41" s="74"/>
      <c r="N41" s="74"/>
      <c r="O41" s="74"/>
      <c r="P41" s="74"/>
      <c r="Q41" s="31"/>
      <c r="R41" s="74"/>
      <c r="S41" s="20"/>
      <c r="T41" s="33"/>
      <c r="U41" s="73"/>
      <c r="V41" s="93">
        <f t="shared" si="3"/>
        <v>0</v>
      </c>
    </row>
    <row r="42" spans="1:23" x14ac:dyDescent="0.25">
      <c r="A42" s="60">
        <v>33</v>
      </c>
      <c r="B42" s="68"/>
      <c r="C42" s="84"/>
      <c r="D42" s="50"/>
      <c r="E42" s="64"/>
      <c r="F42" s="63"/>
      <c r="G42" s="62"/>
      <c r="H42" s="62"/>
      <c r="I42" s="39"/>
      <c r="J42" s="56"/>
      <c r="K42" s="20"/>
      <c r="L42" s="57"/>
      <c r="M42" s="74"/>
      <c r="N42" s="74"/>
      <c r="O42" s="74"/>
      <c r="P42" s="74"/>
      <c r="Q42" s="31"/>
      <c r="R42" s="75"/>
      <c r="S42" s="20"/>
      <c r="T42" s="33"/>
      <c r="U42" s="73"/>
      <c r="V42" s="93">
        <f t="shared" si="3"/>
        <v>0</v>
      </c>
    </row>
    <row r="43" spans="1:23" x14ac:dyDescent="0.25">
      <c r="A43" s="60">
        <v>34</v>
      </c>
      <c r="B43" s="68"/>
      <c r="C43" s="84"/>
      <c r="D43" s="50"/>
      <c r="E43" s="64"/>
      <c r="F43" s="63"/>
      <c r="G43" s="62"/>
      <c r="H43" s="62"/>
      <c r="I43" s="39"/>
      <c r="J43" s="56"/>
      <c r="K43" s="20"/>
      <c r="L43" s="57"/>
      <c r="M43" s="74"/>
      <c r="N43" s="74"/>
      <c r="O43" s="74"/>
      <c r="P43" s="74"/>
      <c r="Q43" s="31"/>
      <c r="R43" s="74"/>
      <c r="S43" s="20"/>
      <c r="T43" s="33"/>
      <c r="U43" s="73"/>
      <c r="V43" s="93">
        <f t="shared" si="3"/>
        <v>0</v>
      </c>
    </row>
    <row r="44" spans="1:23" x14ac:dyDescent="0.25">
      <c r="A44" s="60">
        <v>35</v>
      </c>
      <c r="B44" s="68"/>
      <c r="C44" s="84"/>
      <c r="D44" s="50"/>
      <c r="E44" s="64"/>
      <c r="F44" s="63"/>
      <c r="G44" s="62"/>
      <c r="H44" s="62"/>
      <c r="I44" s="39"/>
      <c r="J44" s="56"/>
      <c r="K44" s="20"/>
      <c r="L44" s="57"/>
      <c r="M44" s="74"/>
      <c r="N44" s="74"/>
      <c r="O44" s="74"/>
      <c r="P44" s="74"/>
      <c r="Q44" s="31"/>
      <c r="R44" s="74"/>
      <c r="S44" s="20"/>
      <c r="T44" s="33"/>
      <c r="U44" s="73"/>
      <c r="V44" s="93">
        <f t="shared" si="3"/>
        <v>0</v>
      </c>
    </row>
    <row r="45" spans="1:23" x14ac:dyDescent="0.25">
      <c r="A45" s="60">
        <v>36</v>
      </c>
      <c r="B45" s="68"/>
      <c r="C45" s="84"/>
      <c r="D45" s="50"/>
      <c r="E45" s="64"/>
      <c r="F45" s="63"/>
      <c r="G45" s="62"/>
      <c r="H45" s="62"/>
      <c r="I45" s="39"/>
      <c r="J45" s="56"/>
      <c r="K45" s="20"/>
      <c r="L45" s="57"/>
      <c r="M45" s="74"/>
      <c r="N45" s="74"/>
      <c r="O45" s="74"/>
      <c r="P45" s="74"/>
      <c r="Q45" s="31"/>
      <c r="R45" s="74"/>
      <c r="S45" s="20"/>
      <c r="T45" s="33"/>
      <c r="U45" s="73"/>
      <c r="V45" s="93">
        <f t="shared" si="3"/>
        <v>0</v>
      </c>
    </row>
    <row r="46" spans="1:23" x14ac:dyDescent="0.6">
      <c r="A46" s="60">
        <v>37</v>
      </c>
      <c r="B46" s="83"/>
      <c r="C46" s="87"/>
      <c r="D46" s="77"/>
      <c r="E46" s="78"/>
      <c r="F46" s="79"/>
      <c r="G46" s="80"/>
      <c r="H46" s="80"/>
      <c r="I46" s="39"/>
      <c r="J46" s="81"/>
      <c r="K46" s="20"/>
      <c r="L46" s="57"/>
      <c r="M46" s="82"/>
      <c r="N46" s="82"/>
      <c r="O46" s="82"/>
      <c r="P46" s="82"/>
      <c r="Q46" s="31"/>
      <c r="R46" s="82"/>
      <c r="S46" s="20"/>
      <c r="T46" s="33"/>
      <c r="U46" s="73"/>
      <c r="V46" s="93">
        <f t="shared" si="3"/>
        <v>0</v>
      </c>
    </row>
    <row r="47" spans="1:23" x14ac:dyDescent="0.6">
      <c r="A47" s="60">
        <v>38</v>
      </c>
      <c r="B47" s="69"/>
      <c r="C47" s="88"/>
      <c r="D47" s="61"/>
      <c r="E47" s="53"/>
      <c r="F47" s="48"/>
      <c r="G47" s="46"/>
      <c r="H47" s="46"/>
      <c r="I47" s="39"/>
      <c r="J47" s="56"/>
      <c r="K47" s="20"/>
      <c r="L47" s="57"/>
      <c r="M47" s="74"/>
      <c r="N47" s="74"/>
      <c r="O47" s="74"/>
      <c r="P47" s="74"/>
      <c r="Q47" s="31"/>
      <c r="R47" s="82"/>
      <c r="S47" s="20"/>
      <c r="T47" s="33"/>
      <c r="U47" s="73"/>
      <c r="V47" s="93">
        <f t="shared" si="3"/>
        <v>0</v>
      </c>
    </row>
    <row r="48" spans="1:23" x14ac:dyDescent="0.6">
      <c r="A48" s="60">
        <v>39</v>
      </c>
      <c r="B48" s="70"/>
      <c r="C48" s="86"/>
      <c r="D48" s="51"/>
      <c r="E48" s="53"/>
      <c r="F48" s="48"/>
      <c r="G48" s="46"/>
      <c r="H48" s="46"/>
      <c r="I48" s="39"/>
      <c r="J48" s="56"/>
      <c r="K48" s="20"/>
      <c r="L48" s="57"/>
      <c r="M48" s="74"/>
      <c r="N48" s="74"/>
      <c r="O48" s="74"/>
      <c r="P48" s="74"/>
      <c r="Q48" s="31"/>
      <c r="R48" s="74"/>
      <c r="S48" s="20"/>
      <c r="T48" s="33"/>
      <c r="U48" s="73"/>
      <c r="V48" s="93">
        <f t="shared" si="3"/>
        <v>0</v>
      </c>
    </row>
    <row r="49" spans="1:22" x14ac:dyDescent="0.6">
      <c r="A49" s="60">
        <v>40</v>
      </c>
      <c r="B49" s="68"/>
      <c r="C49" s="84"/>
      <c r="D49" s="50"/>
      <c r="E49" s="53"/>
      <c r="F49" s="48"/>
      <c r="G49" s="46"/>
      <c r="H49" s="46"/>
      <c r="I49" s="39"/>
      <c r="J49" s="56"/>
      <c r="K49" s="20"/>
      <c r="L49" s="57"/>
      <c r="M49" s="74"/>
      <c r="N49" s="74"/>
      <c r="O49" s="74"/>
      <c r="P49" s="74"/>
      <c r="Q49" s="31"/>
      <c r="R49" s="74"/>
      <c r="S49" s="20"/>
      <c r="T49" s="33"/>
      <c r="U49" s="73"/>
      <c r="V49" s="93">
        <f t="shared" si="3"/>
        <v>0</v>
      </c>
    </row>
    <row r="50" spans="1:22" x14ac:dyDescent="0.6">
      <c r="A50" s="60">
        <v>41</v>
      </c>
      <c r="B50" s="68"/>
      <c r="C50" s="84"/>
      <c r="D50" s="50"/>
      <c r="E50" s="53"/>
      <c r="F50" s="48"/>
      <c r="G50" s="46"/>
      <c r="H50" s="46"/>
      <c r="I50" s="39"/>
      <c r="J50" s="56"/>
      <c r="K50" s="20"/>
      <c r="L50" s="57"/>
      <c r="M50" s="74"/>
      <c r="N50" s="74"/>
      <c r="O50" s="74"/>
      <c r="P50" s="74"/>
      <c r="Q50" s="31"/>
      <c r="R50" s="74"/>
      <c r="S50" s="20"/>
      <c r="T50" s="33"/>
      <c r="U50" s="73"/>
      <c r="V50" s="93">
        <f t="shared" si="3"/>
        <v>0</v>
      </c>
    </row>
    <row r="51" spans="1:22" x14ac:dyDescent="0.6">
      <c r="A51" s="60">
        <v>42</v>
      </c>
      <c r="B51" s="68"/>
      <c r="C51" s="84"/>
      <c r="D51" s="50"/>
      <c r="E51" s="53"/>
      <c r="F51" s="48"/>
      <c r="G51" s="46"/>
      <c r="H51" s="46"/>
      <c r="I51" s="39"/>
      <c r="J51" s="56"/>
      <c r="K51" s="20"/>
      <c r="L51" s="57"/>
      <c r="M51" s="74"/>
      <c r="N51" s="74"/>
      <c r="O51" s="74"/>
      <c r="P51" s="74"/>
      <c r="Q51" s="31"/>
      <c r="R51" s="74"/>
      <c r="S51" s="20"/>
      <c r="T51" s="33"/>
      <c r="U51" s="73"/>
      <c r="V51" s="93">
        <f t="shared" si="3"/>
        <v>0</v>
      </c>
    </row>
    <row r="52" spans="1:22" x14ac:dyDescent="0.6">
      <c r="A52" s="60">
        <v>43</v>
      </c>
      <c r="B52" s="68"/>
      <c r="C52" s="84"/>
      <c r="D52" s="50"/>
      <c r="E52" s="53"/>
      <c r="F52" s="48"/>
      <c r="G52" s="46"/>
      <c r="H52" s="46"/>
      <c r="I52" s="39"/>
      <c r="J52" s="56"/>
      <c r="K52" s="20"/>
      <c r="L52" s="57"/>
      <c r="M52" s="74"/>
      <c r="N52" s="74"/>
      <c r="O52" s="74"/>
      <c r="P52" s="74"/>
      <c r="Q52" s="31"/>
      <c r="R52" s="74"/>
      <c r="S52" s="20"/>
      <c r="T52" s="33"/>
      <c r="U52" s="73"/>
      <c r="V52" s="93">
        <f t="shared" si="3"/>
        <v>0</v>
      </c>
    </row>
    <row r="53" spans="1:22" x14ac:dyDescent="0.6">
      <c r="A53" s="60">
        <v>44</v>
      </c>
      <c r="B53" s="68"/>
      <c r="C53" s="84"/>
      <c r="D53" s="50"/>
      <c r="E53" s="53"/>
      <c r="F53" s="48"/>
      <c r="G53" s="46"/>
      <c r="H53" s="46"/>
      <c r="I53" s="39"/>
      <c r="J53" s="56"/>
      <c r="K53" s="20"/>
      <c r="L53" s="57"/>
      <c r="M53" s="74"/>
      <c r="N53" s="74"/>
      <c r="O53" s="74"/>
      <c r="P53" s="74"/>
      <c r="Q53" s="31"/>
      <c r="R53" s="74"/>
      <c r="S53" s="20"/>
      <c r="T53" s="33"/>
      <c r="U53" s="73"/>
      <c r="V53" s="93">
        <f t="shared" si="3"/>
        <v>0</v>
      </c>
    </row>
    <row r="54" spans="1:22" x14ac:dyDescent="0.6">
      <c r="A54" s="17">
        <v>45</v>
      </c>
      <c r="B54" s="68"/>
      <c r="C54" s="84"/>
      <c r="D54" s="50"/>
      <c r="E54" s="54"/>
      <c r="F54" s="48"/>
      <c r="G54" s="46"/>
      <c r="H54" s="46"/>
      <c r="I54" s="39"/>
      <c r="J54" s="56"/>
      <c r="K54" s="20"/>
      <c r="L54" s="57"/>
      <c r="M54" s="74"/>
      <c r="N54" s="74"/>
      <c r="O54" s="74"/>
      <c r="P54" s="74"/>
      <c r="Q54" s="31"/>
      <c r="R54" s="74"/>
      <c r="S54" s="20"/>
      <c r="T54" s="33"/>
      <c r="U54" s="73"/>
      <c r="V54" s="93">
        <f t="shared" si="3"/>
        <v>0</v>
      </c>
    </row>
    <row r="55" spans="1:22" x14ac:dyDescent="0.6">
      <c r="A55" s="17">
        <v>46</v>
      </c>
      <c r="B55" s="68"/>
      <c r="C55" s="84"/>
      <c r="D55" s="50"/>
      <c r="E55" s="54"/>
      <c r="F55" s="48"/>
      <c r="G55" s="46"/>
      <c r="H55" s="46"/>
      <c r="I55" s="39"/>
      <c r="J55" s="56"/>
      <c r="K55" s="20"/>
      <c r="L55" s="57"/>
      <c r="M55" s="74"/>
      <c r="N55" s="74"/>
      <c r="O55" s="74"/>
      <c r="P55" s="74"/>
      <c r="Q55" s="31"/>
      <c r="R55" s="47"/>
      <c r="S55" s="20"/>
      <c r="T55" s="33"/>
      <c r="U55" s="73"/>
      <c r="V55" s="93">
        <f t="shared" si="3"/>
        <v>0</v>
      </c>
    </row>
  </sheetData>
  <mergeCells count="25">
    <mergeCell ref="D1:E1"/>
    <mergeCell ref="A3:U3"/>
    <mergeCell ref="A4:A9"/>
    <mergeCell ref="B4:D9"/>
    <mergeCell ref="E5:H5"/>
    <mergeCell ref="I5:I8"/>
    <mergeCell ref="J5:J8"/>
    <mergeCell ref="K5:K8"/>
    <mergeCell ref="L5:L8"/>
    <mergeCell ref="N7:N8"/>
    <mergeCell ref="M5:P5"/>
    <mergeCell ref="Q5:Q8"/>
    <mergeCell ref="R5:R8"/>
    <mergeCell ref="S5:S8"/>
    <mergeCell ref="E7:E8"/>
    <mergeCell ref="F7:F8"/>
    <mergeCell ref="V5:V9"/>
    <mergeCell ref="E4:V4"/>
    <mergeCell ref="T5:T8"/>
    <mergeCell ref="U5:U8"/>
    <mergeCell ref="O7:O8"/>
    <mergeCell ref="P7:P8"/>
    <mergeCell ref="G7:G8"/>
    <mergeCell ref="H7:H8"/>
    <mergeCell ref="M7:M8"/>
  </mergeCells>
  <dataValidations count="2">
    <dataValidation type="whole" allowBlank="1" showInputMessage="1" showErrorMessage="1" promptTitle="คำแนะนำ" prompt="คะแนนจะอยู่ระหว่าง 7-10 เท่านั้น" sqref="R55 M55:O55" xr:uid="{00000000-0002-0000-0400-000000000000}">
      <formula1>7</formula1>
      <formula2>10</formula2>
    </dataValidation>
    <dataValidation type="whole" allowBlank="1" showInputMessage="1" showErrorMessage="1" promptTitle="คำแนะนำ" prompt="คะแนนจะอยู่ระหว่าง 4-5 เท่านั้น" sqref="P55" xr:uid="{00000000-0002-0000-0400-000001000000}">
      <formula1>4</formula1>
      <formula2>5</formula2>
    </dataValidation>
  </dataValidations>
  <printOptions horizontalCentered="1"/>
  <pageMargins left="0.19685039370078741" right="0.19685039370078741" top="0.19685039370078741" bottom="0.19685039370078741" header="0.31496062992125984" footer="0.31496062992125984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INFO</vt:lpstr>
      <vt:lpstr>Mathematics</vt:lpstr>
      <vt:lpstr>Science</vt:lpstr>
      <vt:lpstr>English</vt:lpstr>
      <vt:lpstr>Arts</vt:lpstr>
      <vt:lpstr>Arts!Print_Area</vt:lpstr>
      <vt:lpstr>English!Print_Area</vt:lpstr>
      <vt:lpstr>Mathematics!Print_Area</vt:lpstr>
      <vt:lpstr>Science!Print_Area</vt:lpstr>
      <vt:lpstr>Arts!Print_Titles</vt:lpstr>
      <vt:lpstr>English!Print_Titles</vt:lpstr>
      <vt:lpstr>Mathematics!Print_Titles</vt:lpstr>
      <vt:lpstr>Science!Print_Titles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somsak chongklang</dc:creator>
  <cp:keywords/>
  <dc:description/>
  <cp:lastModifiedBy>Chartchai Manitram</cp:lastModifiedBy>
  <cp:revision/>
  <cp:lastPrinted>2024-06-19T09:15:42Z</cp:lastPrinted>
  <dcterms:created xsi:type="dcterms:W3CDTF">2013-10-28T01:36:42Z</dcterms:created>
  <dcterms:modified xsi:type="dcterms:W3CDTF">2026-10-23T14:34:50Z</dcterms:modified>
  <cp:category/>
  <cp:contentStatus/>
</cp:coreProperties>
</file>